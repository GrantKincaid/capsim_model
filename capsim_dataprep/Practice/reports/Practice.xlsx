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4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5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rant\Downloads\"/>
    </mc:Choice>
  </mc:AlternateContent>
  <xr:revisionPtr revIDLastSave="0" documentId="13_ncr:1_{5FB20231-E49E-472D-B71F-F0667737B0BA}" xr6:coauthVersionLast="47" xr6:coauthVersionMax="47" xr10:uidLastSave="{00000000-0000-0000-0000-000000000000}"/>
  <bookViews>
    <workbookView xWindow="-108" yWindow="-108" windowWidth="23256" windowHeight="12576" activeTab="6" xr2:uid="{00000000-000D-0000-FFFF-FFFF00000000}"/>
  </bookViews>
  <sheets>
    <sheet name="High Level Overview" sheetId="1" r:id="rId1"/>
    <sheet name="Traditional" sheetId="2" r:id="rId2"/>
    <sheet name="Low End" sheetId="3" r:id="rId3"/>
    <sheet name="High End" sheetId="4" r:id="rId4"/>
    <sheet name="Performance" sheetId="5" r:id="rId5"/>
    <sheet name="Size" sheetId="6" r:id="rId6"/>
    <sheet name="Production" sheetId="7" r:id="rId7"/>
    <sheet name="Finance" sheetId="8" r:id="rId8"/>
    <sheet name="Market Share" sheetId="9" r:id="rId9"/>
    <sheet name="Custom Modules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<sst xmlns="http://schemas.openxmlformats.org/spreadsheetml/2006/main" count="783" uniqueCount="217">
  <si>
    <t>High Level Overview</t>
  </si>
  <si>
    <t/>
  </si>
  <si>
    <t>Andrews</t>
  </si>
  <si>
    <t>Baldwin</t>
  </si>
  <si>
    <t>Chester</t>
  </si>
  <si>
    <t>Digby</t>
  </si>
  <si>
    <t>Erie</t>
  </si>
  <si>
    <t>Average</t>
  </si>
  <si>
    <t>ROS</t>
  </si>
  <si>
    <t>Asset Turnover</t>
  </si>
  <si>
    <t>ROA</t>
  </si>
  <si>
    <t>Leverage</t>
  </si>
  <si>
    <t>ROE</t>
  </si>
  <si>
    <t>Sales</t>
  </si>
  <si>
    <t>EBIT</t>
  </si>
  <si>
    <t>Profit</t>
  </si>
  <si>
    <t>Cumulative Profit</t>
  </si>
  <si>
    <t>SG&amp;A to Sales Ratio</t>
  </si>
  <si>
    <t>Contribution Margin</t>
  </si>
  <si>
    <t>Emergency Loan</t>
  </si>
  <si>
    <t>Traditional</t>
  </si>
  <si>
    <t>Low End</t>
  </si>
  <si>
    <t>High End</t>
  </si>
  <si>
    <t>Performance</t>
  </si>
  <si>
    <t>Size</t>
  </si>
  <si>
    <t>Customer Buying Criteria</t>
  </si>
  <si>
    <t>Expectations</t>
  </si>
  <si>
    <t>Importance</t>
  </si>
  <si>
    <t>Age</t>
  </si>
  <si>
    <t>2 Years</t>
  </si>
  <si>
    <t>Price</t>
  </si>
  <si>
    <t>$19.50 - $29.50</t>
  </si>
  <si>
    <t>Positioning</t>
  </si>
  <si>
    <t>Performance 5.7 Size 14.3</t>
  </si>
  <si>
    <t>Reliability</t>
  </si>
  <si>
    <t>14,000 - 19,000</t>
  </si>
  <si>
    <t>$14.50 - $24.50</t>
  </si>
  <si>
    <t>7 Years</t>
  </si>
  <si>
    <t>Performance 2.2 Size 17.8</t>
  </si>
  <si>
    <t>12,000 - 17,000</t>
  </si>
  <si>
    <t>Performance 9.8 Size 10.2</t>
  </si>
  <si>
    <t>0 Years</t>
  </si>
  <si>
    <t>20,000 - 25,000</t>
  </si>
  <si>
    <t>$29.50 - $39.50</t>
  </si>
  <si>
    <t>22,000 - 27,000</t>
  </si>
  <si>
    <t>Performance 10.4 Size 15.3</t>
  </si>
  <si>
    <t>$24.50 - $34.50</t>
  </si>
  <si>
    <t>1 Years</t>
  </si>
  <si>
    <t>Performance 4.7 Size 9.6</t>
  </si>
  <si>
    <t>16,000 - 21,000</t>
  </si>
  <si>
    <t>Product List</t>
  </si>
  <si>
    <t>Name</t>
  </si>
  <si>
    <t>Revision Date</t>
  </si>
  <si>
    <t>Able</t>
  </si>
  <si>
    <t>11-Apr-2027</t>
  </si>
  <si>
    <t>Acre</t>
  </si>
  <si>
    <t>1-Aug-2027</t>
  </si>
  <si>
    <t>Adam</t>
  </si>
  <si>
    <t>14-Sep-2027</t>
  </si>
  <si>
    <t>Aft</t>
  </si>
  <si>
    <t>2-Aug-2027</t>
  </si>
  <si>
    <t>Agape</t>
  </si>
  <si>
    <t>14-July-2027</t>
  </si>
  <si>
    <t>Alan</t>
  </si>
  <si>
    <t>-</t>
  </si>
  <si>
    <t>20-Aug-2029</t>
  </si>
  <si>
    <t>Baker</t>
  </si>
  <si>
    <t>28-May-2027</t>
  </si>
  <si>
    <t>Bead</t>
  </si>
  <si>
    <t>30-Aug-2027</t>
  </si>
  <si>
    <t>Bid</t>
  </si>
  <si>
    <t>24-Sep-2027</t>
  </si>
  <si>
    <t>Bold</t>
  </si>
  <si>
    <t>22-Oct-2027</t>
  </si>
  <si>
    <t>Buddy</t>
  </si>
  <si>
    <t>15-June-2027</t>
  </si>
  <si>
    <t>Cake</t>
  </si>
  <si>
    <t>24-Apr-2027</t>
  </si>
  <si>
    <t>Cedar</t>
  </si>
  <si>
    <t>Cid</t>
  </si>
  <si>
    <t>18-Dec-2027</t>
  </si>
  <si>
    <t>Coat</t>
  </si>
  <si>
    <t>3-Aug-2027</t>
  </si>
  <si>
    <t>Cure</t>
  </si>
  <si>
    <t>3-Dec-2027</t>
  </si>
  <si>
    <t>Daze</t>
  </si>
  <si>
    <t>27-May-2027</t>
  </si>
  <si>
    <t>Dell</t>
  </si>
  <si>
    <t>19-Aug-2027</t>
  </si>
  <si>
    <t>Dot</t>
  </si>
  <si>
    <t>19-Sep-2027</t>
  </si>
  <si>
    <t>Duck</t>
  </si>
  <si>
    <t>29-Dec-2027</t>
  </si>
  <si>
    <t>Dune</t>
  </si>
  <si>
    <t>Easy</t>
  </si>
  <si>
    <t>19-June-2028</t>
  </si>
  <si>
    <t>Eat</t>
  </si>
  <si>
    <t>19-July-2027</t>
  </si>
  <si>
    <t>Ebb</t>
  </si>
  <si>
    <t>26-May-2022</t>
  </si>
  <si>
    <t>Echo</t>
  </si>
  <si>
    <t>17-Sep-2027</t>
  </si>
  <si>
    <t>Edge</t>
  </si>
  <si>
    <t>23-Oct-2027</t>
  </si>
  <si>
    <t>Egg</t>
  </si>
  <si>
    <t>14-Oct-2027</t>
  </si>
  <si>
    <t>Demand Information</t>
  </si>
  <si>
    <t>2027 Total Market Size</t>
  </si>
  <si>
    <t>2027 Total Units Sold</t>
  </si>
  <si>
    <t>Segment % of Total Industry</t>
  </si>
  <si>
    <t>2028 Demand Growth Rate</t>
  </si>
  <si>
    <t>Top Products</t>
  </si>
  <si>
    <t>Units Sold</t>
  </si>
  <si>
    <t>Potential Sold</t>
  </si>
  <si>
    <t>Stock Out</t>
  </si>
  <si>
    <t>Sales Budget</t>
  </si>
  <si>
    <t>Customer Accessibility</t>
  </si>
  <si>
    <t>Promo Budget</t>
  </si>
  <si>
    <t>Customer Awareness</t>
  </si>
  <si>
    <t>Customer Satisfaction</t>
  </si>
  <si>
    <t>No</t>
  </si>
  <si>
    <t>Yes</t>
  </si>
  <si>
    <t>Plant Information</t>
  </si>
  <si>
    <t>Primary Segment</t>
  </si>
  <si>
    <t>Inventory</t>
  </si>
  <si>
    <t>Age Dec.31</t>
  </si>
  <si>
    <t>MTBF</t>
  </si>
  <si>
    <t>Pfmn Coord</t>
  </si>
  <si>
    <t>Material Cost</t>
  </si>
  <si>
    <t>Labor Cost</t>
  </si>
  <si>
    <t>2nd Shift &amp; Over-time</t>
  </si>
  <si>
    <t>Auto. Next Round</t>
  </si>
  <si>
    <t>Capacity Next Round</t>
  </si>
  <si>
    <t>Plant Utilization</t>
  </si>
  <si>
    <t>Income Statement</t>
  </si>
  <si>
    <t>Total Variable Costs (Labor, Material, Carry)</t>
  </si>
  <si>
    <t>Depreciation</t>
  </si>
  <si>
    <t>SG&amp;A</t>
  </si>
  <si>
    <t>Other (Fees/Write-offs/Bonuses/Relocation Fee)</t>
  </si>
  <si>
    <t>Interest (Short term/Long Term)</t>
  </si>
  <si>
    <t>Taxes</t>
  </si>
  <si>
    <t>Profit Sharing</t>
  </si>
  <si>
    <t>Net Profit</t>
  </si>
  <si>
    <t>Balance Sheet</t>
  </si>
  <si>
    <t>Cash</t>
  </si>
  <si>
    <t>Accounts Receivable</t>
  </si>
  <si>
    <t>Total Current Assets</t>
  </si>
  <si>
    <t>Plant and Equipment</t>
  </si>
  <si>
    <t>Accumulated Depreciation</t>
  </si>
  <si>
    <t>Total Fixed Assets</t>
  </si>
  <si>
    <t>Total Assets</t>
  </si>
  <si>
    <t>Accounts Payable</t>
  </si>
  <si>
    <t>Current Debt</t>
  </si>
  <si>
    <t>Long-Term Debt</t>
  </si>
  <si>
    <t>Total Liabilities</t>
  </si>
  <si>
    <t>Common Stock</t>
  </si>
  <si>
    <t>Retained Earnings</t>
  </si>
  <si>
    <t>Total Equity</t>
  </si>
  <si>
    <t>Total Liabilities &amp; Owner's Equity</t>
  </si>
  <si>
    <t>Cash Flow Statement</t>
  </si>
  <si>
    <t>Cash From Operations</t>
  </si>
  <si>
    <t>Net Income(Loss)</t>
  </si>
  <si>
    <t>Adjustment For Non-Cash Items</t>
  </si>
  <si>
    <t>Extraordinary Gains/Losses/Write-offs</t>
  </si>
  <si>
    <t>Changes In Current Assets And Liabilities</t>
  </si>
  <si>
    <t>Net Cash From Operations</t>
  </si>
  <si>
    <t>Cash From Investing</t>
  </si>
  <si>
    <t>Net Plant Improvements</t>
  </si>
  <si>
    <t>Cash From Financing</t>
  </si>
  <si>
    <t>Dividends Paid</t>
  </si>
  <si>
    <t>Sales Of Common Stock</t>
  </si>
  <si>
    <t>Purchase Of Common Stock</t>
  </si>
  <si>
    <t>Cash From Long-Term Debt Issued</t>
  </si>
  <si>
    <t>Early Retirement Of Long-Term Debt</t>
  </si>
  <si>
    <t>Retirement Of Current Debt</t>
  </si>
  <si>
    <t>Cash From Current Debt Borrowing</t>
  </si>
  <si>
    <t>Cash From Emergency Loan</t>
  </si>
  <si>
    <t>Net Cash From Financing</t>
  </si>
  <si>
    <t>Net Change In Cash</t>
  </si>
  <si>
    <t>Stock Market Summary</t>
  </si>
  <si>
    <t>Company</t>
  </si>
  <si>
    <t>Closing Price</t>
  </si>
  <si>
    <t>Change</t>
  </si>
  <si>
    <t>Shares Outstanding</t>
  </si>
  <si>
    <t>Market Cap</t>
  </si>
  <si>
    <t>Book Value</t>
  </si>
  <si>
    <t>EPS</t>
  </si>
  <si>
    <t>Dividend</t>
  </si>
  <si>
    <t>Yield</t>
  </si>
  <si>
    <t>P/E</t>
  </si>
  <si>
    <t>Bond Market Summary</t>
  </si>
  <si>
    <t>Series</t>
  </si>
  <si>
    <t>Face Value</t>
  </si>
  <si>
    <t>S&amp;P Rating</t>
  </si>
  <si>
    <t>11.0S2028</t>
  </si>
  <si>
    <t>B</t>
  </si>
  <si>
    <t>12.5S2030</t>
  </si>
  <si>
    <t>14.0S2032</t>
  </si>
  <si>
    <t>C</t>
  </si>
  <si>
    <t>CC</t>
  </si>
  <si>
    <t>11.3S2037</t>
  </si>
  <si>
    <t>Next Year's Prime Rate:</t>
  </si>
  <si>
    <t>Market Share</t>
  </si>
  <si>
    <t>Actual Market Share</t>
  </si>
  <si>
    <t>Potential Market Share</t>
  </si>
  <si>
    <t>Total</t>
  </si>
  <si>
    <t>Industry Units Sales</t>
  </si>
  <si>
    <t>% of Market</t>
  </si>
  <si>
    <t>Custom Modules</t>
  </si>
  <si>
    <t>Number of Employees</t>
  </si>
  <si>
    <t>First Shift</t>
  </si>
  <si>
    <t>Second Shift</t>
  </si>
  <si>
    <t>Overtime %</t>
  </si>
  <si>
    <t>Turnover Rate</t>
  </si>
  <si>
    <t>New Employees</t>
  </si>
  <si>
    <t>Separated Employees</t>
  </si>
  <si>
    <t>Productivity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</si>
</sst>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"/>
    <numFmt numFmtId="165" formatCode="\$#,##0_);[Red]\(\$#,##0\)"/>
    <numFmt numFmtId="166" formatCode="\$#,##0.00_);[Red]\(\$#,##0.00\)"/>
    <numFmt numFmtId="167" formatCode="0.0%"/>
  </numFmts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shrinkToFit="1"/>
    </xf>
    <xf numFmtId="3" fontId="0" fillId="0" borderId="0" xfId="0" applyNumberFormat="1" applyAlignment="1">
      <alignment shrinkToFit="1"/>
    </xf>
    <xf numFmtId="164" fontId="0" fillId="0" borderId="0" xfId="0" applyNumberFormat="1" applyAlignment="1">
      <alignment shrinkToFit="1"/>
    </xf>
    <xf numFmtId="4" fontId="0" fillId="0" borderId="0" xfId="0" applyNumberFormat="1" applyAlignment="1">
      <alignment shrinkToFit="1"/>
    </xf>
    <xf numFmtId="165" fontId="0" fillId="0" borderId="0" xfId="0" applyNumberFormat="1" applyAlignment="1">
      <alignment shrinkToFit="1"/>
    </xf>
    <xf numFmtId="166" fontId="0" fillId="0" borderId="0" xfId="0" applyNumberFormat="1" applyAlignment="1">
      <alignment shrinkToFit="1"/>
    </xf>
    <xf numFmtId="9" fontId="0" fillId="0" borderId="0" xfId="0" applyNumberFormat="1" applyAlignment="1">
      <alignment shrinkToFit="1"/>
    </xf>
    <xf numFmtId="167" fontId="0" fillId="0" borderId="0" xfId="0" applyNumberFormat="1" applyAlignment="1">
      <alignment shrinkToFit="1"/>
    </xf>
    <xf numFmtId="10" fontId="0" fillId="0" borderId="0" xfId="0" applyNumberFormat="1" applyAlignment="1">
      <alignment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Traditional!$K$16</c:f>
              <c:strCache>
                <c:ptCount val="1"/>
                <c:pt idx="0">
                  <c:v>Customer Accessibility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Traditional!$D$17:$D$21</c:f>
              <c:numCache>
                <c:formatCode>#,##0</c:formatCode>
                <c:ptCount val="5"/>
                <c:pt idx="0">
                  <c:v>1436</c:v>
                </c:pt>
                <c:pt idx="1">
                  <c:v>1357</c:v>
                </c:pt>
                <c:pt idx="2">
                  <c:v>1279</c:v>
                </c:pt>
                <c:pt idx="3">
                  <c:v>1143</c:v>
                </c:pt>
                <c:pt idx="4">
                  <c:v>999</c:v>
                </c:pt>
              </c:numCache>
            </c:numRef>
          </c:xVal>
          <c:yVal>
            <c:numRef>
              <c:f>Traditional!$K$17:$K$21</c:f>
              <c:numCache>
                <c:formatCode>0.0%</c:formatCode>
                <c:ptCount val="5"/>
                <c:pt idx="0">
                  <c:v>0.61</c:v>
                </c:pt>
                <c:pt idx="1">
                  <c:v>0.63</c:v>
                </c:pt>
                <c:pt idx="2">
                  <c:v>0.5</c:v>
                </c:pt>
                <c:pt idx="3">
                  <c:v>0.5</c:v>
                </c:pt>
                <c:pt idx="4">
                  <c:v>0.46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C6B-4D9E-A678-3FCFC92AF6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71084136"/>
        <c:axId val="771080264"/>
      </c:scatterChart>
      <c:valAx>
        <c:axId val="7710841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1080264"/>
        <c:crosses val="autoZero"/>
        <c:crossBetween val="midCat"/>
      </c:valAx>
      <c:valAx>
        <c:axId val="771080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10841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Traditional!$M$16</c:f>
              <c:strCache>
                <c:ptCount val="1"/>
                <c:pt idx="0">
                  <c:v>Customer Awareness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Traditional!$D$17:$D$21</c:f>
              <c:numCache>
                <c:formatCode>#,##0</c:formatCode>
                <c:ptCount val="5"/>
                <c:pt idx="0">
                  <c:v>1436</c:v>
                </c:pt>
                <c:pt idx="1">
                  <c:v>1357</c:v>
                </c:pt>
                <c:pt idx="2">
                  <c:v>1279</c:v>
                </c:pt>
                <c:pt idx="3">
                  <c:v>1143</c:v>
                </c:pt>
                <c:pt idx="4">
                  <c:v>999</c:v>
                </c:pt>
              </c:numCache>
            </c:numRef>
          </c:xVal>
          <c:yVal>
            <c:numRef>
              <c:f>Traditional!$M$17:$M$21</c:f>
              <c:numCache>
                <c:formatCode>0.0%</c:formatCode>
                <c:ptCount val="5"/>
                <c:pt idx="0">
                  <c:v>0.64599999999999991</c:v>
                </c:pt>
                <c:pt idx="1">
                  <c:v>0.81700000000000006</c:v>
                </c:pt>
                <c:pt idx="2">
                  <c:v>0.58299999999999996</c:v>
                </c:pt>
                <c:pt idx="3">
                  <c:v>0.58299999999999996</c:v>
                </c:pt>
                <c:pt idx="4">
                  <c:v>0.58299999999999996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365-455E-B5F7-8A11838C08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7723976"/>
        <c:axId val="577724328"/>
      </c:scatterChart>
      <c:valAx>
        <c:axId val="5777239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7724328"/>
        <c:crosses val="autoZero"/>
        <c:crossBetween val="midCat"/>
      </c:valAx>
      <c:valAx>
        <c:axId val="577724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77239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6.7460411198600176E-2"/>
                  <c:y val="2.4064231554389033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'Low End'!$B$17:$B$21</c:f>
              <c:numCache>
                <c:formatCode>\$#,##0.00_);[Red]\(\$#,##0.00\)</c:formatCode>
                <c:ptCount val="5"/>
                <c:pt idx="0">
                  <c:v>19</c:v>
                </c:pt>
                <c:pt idx="1">
                  <c:v>15.75</c:v>
                </c:pt>
                <c:pt idx="2">
                  <c:v>21</c:v>
                </c:pt>
                <c:pt idx="3">
                  <c:v>20.25</c:v>
                </c:pt>
                <c:pt idx="4">
                  <c:v>21</c:v>
                </c:pt>
              </c:numCache>
            </c:numRef>
          </c:xVal>
          <c:yVal>
            <c:numRef>
              <c:f>'Low End'!$D$17:$D$21</c:f>
              <c:numCache>
                <c:formatCode>#,##0</c:formatCode>
                <c:ptCount val="5"/>
                <c:pt idx="0">
                  <c:v>1968</c:v>
                </c:pt>
                <c:pt idx="1">
                  <c:v>2468</c:v>
                </c:pt>
                <c:pt idx="2">
                  <c:v>1467</c:v>
                </c:pt>
                <c:pt idx="3">
                  <c:v>1304</c:v>
                </c:pt>
                <c:pt idx="4">
                  <c:v>1129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9DD-40DF-9613-7926C8838B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2090312"/>
        <c:axId val="782092776"/>
      </c:scatterChart>
      <c:valAx>
        <c:axId val="7820903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$#,##0.00_);[Red]\(\$#,##0.0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2092776"/>
        <c:crosses val="autoZero"/>
        <c:crossBetween val="midCat"/>
      </c:valAx>
      <c:valAx>
        <c:axId val="782092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20903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 Accessibility / marketing buget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'Low End'!$K$16</c:f>
              <c:strCache>
                <c:ptCount val="1"/>
                <c:pt idx="0">
                  <c:v>Customer Accessibility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'Low End'!$D$17:$D$21</c:f>
              <c:numCache>
                <c:formatCode>#,##0</c:formatCode>
                <c:ptCount val="5"/>
                <c:pt idx="0">
                  <c:v>1968</c:v>
                </c:pt>
                <c:pt idx="1">
                  <c:v>2468</c:v>
                </c:pt>
                <c:pt idx="2">
                  <c:v>1467</c:v>
                </c:pt>
                <c:pt idx="3">
                  <c:v>1304</c:v>
                </c:pt>
                <c:pt idx="4">
                  <c:v>1129</c:v>
                </c:pt>
              </c:numCache>
            </c:numRef>
          </c:xVal>
          <c:yVal>
            <c:numRef>
              <c:f>'Low End'!$K$17:$K$21</c:f>
              <c:numCache>
                <c:formatCode>0.0%</c:formatCode>
                <c:ptCount val="5"/>
                <c:pt idx="0">
                  <c:v>0.44</c:v>
                </c:pt>
                <c:pt idx="1">
                  <c:v>0.33</c:v>
                </c:pt>
                <c:pt idx="2">
                  <c:v>0.34</c:v>
                </c:pt>
                <c:pt idx="3">
                  <c:v>0.33</c:v>
                </c:pt>
                <c:pt idx="4">
                  <c:v>0.33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E0A-47A8-88B6-68EC4A121E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71104200"/>
        <c:axId val="771104904"/>
      </c:scatterChart>
      <c:valAx>
        <c:axId val="7711042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1104904"/>
        <c:crosses val="autoZero"/>
        <c:crossBetween val="midCat"/>
      </c:valAx>
      <c:valAx>
        <c:axId val="771104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11042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 Awareness / Promo Buget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'Low End'!$M$16</c:f>
              <c:strCache>
                <c:ptCount val="1"/>
                <c:pt idx="0">
                  <c:v>Customer Awareness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'Low End'!$D$17:$D$21</c:f>
              <c:numCache>
                <c:formatCode>#,##0</c:formatCode>
                <c:ptCount val="5"/>
                <c:pt idx="0">
                  <c:v>1968</c:v>
                </c:pt>
                <c:pt idx="1">
                  <c:v>2468</c:v>
                </c:pt>
                <c:pt idx="2">
                  <c:v>1467</c:v>
                </c:pt>
                <c:pt idx="3">
                  <c:v>1304</c:v>
                </c:pt>
                <c:pt idx="4">
                  <c:v>1129</c:v>
                </c:pt>
              </c:numCache>
            </c:numRef>
          </c:xVal>
          <c:yVal>
            <c:numRef>
              <c:f>'Low End'!$M$17:$M$21</c:f>
              <c:numCache>
                <c:formatCode>0.0%</c:formatCode>
                <c:ptCount val="5"/>
                <c:pt idx="0">
                  <c:v>0.624</c:v>
                </c:pt>
                <c:pt idx="1">
                  <c:v>0.52900000000000003</c:v>
                </c:pt>
                <c:pt idx="2">
                  <c:v>0.79599999999999993</c:v>
                </c:pt>
                <c:pt idx="3">
                  <c:v>0.52900000000000003</c:v>
                </c:pt>
                <c:pt idx="4">
                  <c:v>0.52900000000000003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D87-4D87-917A-8FAC5518B1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71092232"/>
        <c:axId val="771095048"/>
      </c:scatterChart>
      <c:valAx>
        <c:axId val="7710922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1095048"/>
        <c:crosses val="autoZero"/>
        <c:crossBetween val="midCat"/>
      </c:valAx>
      <c:valAx>
        <c:axId val="771095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10922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54156233595800529"/>
          <c:y val="4.62962962962962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'High End'!$K$16</c:f>
              <c:strCache>
                <c:ptCount val="1"/>
                <c:pt idx="0">
                  <c:v>Customer Accessibility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'High End'!$D$17:$D$21</c:f>
              <c:numCache>
                <c:formatCode>#,##0</c:formatCode>
                <c:ptCount val="5"/>
                <c:pt idx="0">
                  <c:v>638</c:v>
                </c:pt>
                <c:pt idx="1">
                  <c:v>425</c:v>
                </c:pt>
                <c:pt idx="2">
                  <c:v>419</c:v>
                </c:pt>
                <c:pt idx="3">
                  <c:v>415</c:v>
                </c:pt>
                <c:pt idx="4">
                  <c:v>333</c:v>
                </c:pt>
              </c:numCache>
            </c:numRef>
          </c:xVal>
          <c:yVal>
            <c:numRef>
              <c:f>'High End'!$K$17:$K$21</c:f>
              <c:numCache>
                <c:formatCode>0.0%</c:formatCode>
                <c:ptCount val="5"/>
                <c:pt idx="0">
                  <c:v>0.61</c:v>
                </c:pt>
                <c:pt idx="1">
                  <c:v>0.52</c:v>
                </c:pt>
                <c:pt idx="2">
                  <c:v>0.41</c:v>
                </c:pt>
                <c:pt idx="3">
                  <c:v>0.41</c:v>
                </c:pt>
                <c:pt idx="4">
                  <c:v>0.41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9E6-4DEA-BB2C-E9AC11B26E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2178376"/>
        <c:axId val="812178728"/>
      </c:scatterChart>
      <c:valAx>
        <c:axId val="8121783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2178728"/>
        <c:crosses val="autoZero"/>
        <c:crossBetween val="midCat"/>
      </c:valAx>
      <c:valAx>
        <c:axId val="812178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21783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'High End'!$M$16</c:f>
              <c:strCache>
                <c:ptCount val="1"/>
                <c:pt idx="0">
                  <c:v>Customer Awareness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'High End'!$D$17:$D$21</c:f>
              <c:numCache>
                <c:formatCode>#,##0</c:formatCode>
                <c:ptCount val="5"/>
                <c:pt idx="0">
                  <c:v>638</c:v>
                </c:pt>
                <c:pt idx="1">
                  <c:v>425</c:v>
                </c:pt>
                <c:pt idx="2">
                  <c:v>419</c:v>
                </c:pt>
                <c:pt idx="3">
                  <c:v>415</c:v>
                </c:pt>
                <c:pt idx="4">
                  <c:v>333</c:v>
                </c:pt>
              </c:numCache>
            </c:numRef>
          </c:xVal>
          <c:yVal>
            <c:numRef>
              <c:f>'High End'!$M$17:$M$21</c:f>
              <c:numCache>
                <c:formatCode>0.0%</c:formatCode>
                <c:ptCount val="5"/>
                <c:pt idx="0">
                  <c:v>0.77400000000000002</c:v>
                </c:pt>
                <c:pt idx="1">
                  <c:v>0.60299999999999998</c:v>
                </c:pt>
                <c:pt idx="2">
                  <c:v>0.47600000000000003</c:v>
                </c:pt>
                <c:pt idx="3">
                  <c:v>0.47600000000000003</c:v>
                </c:pt>
                <c:pt idx="4">
                  <c:v>0.47600000000000003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637-485A-9981-9BCC0C4B2F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2173800"/>
        <c:axId val="812177320"/>
      </c:scatterChart>
      <c:valAx>
        <c:axId val="8121738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2177320"/>
        <c:crosses val="autoZero"/>
        <c:crossBetween val="midCat"/>
      </c:valAx>
      <c:valAx>
        <c:axId val="812177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21738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Performance!$K$16</c:f>
              <c:strCache>
                <c:ptCount val="1"/>
                <c:pt idx="0">
                  <c:v>Customer Accessibility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Performance!$D$17:$D$21</c:f>
              <c:numCache>
                <c:formatCode>#,##0</c:formatCode>
                <c:ptCount val="5"/>
                <c:pt idx="0">
                  <c:v>485</c:v>
                </c:pt>
                <c:pt idx="1">
                  <c:v>440</c:v>
                </c:pt>
                <c:pt idx="2">
                  <c:v>360</c:v>
                </c:pt>
                <c:pt idx="3">
                  <c:v>313</c:v>
                </c:pt>
                <c:pt idx="4">
                  <c:v>303</c:v>
                </c:pt>
              </c:numCache>
            </c:numRef>
          </c:xVal>
          <c:yVal>
            <c:numRef>
              <c:f>Performance!$K$17:$K$21</c:f>
              <c:numCache>
                <c:formatCode>0.0%</c:formatCode>
                <c:ptCount val="5"/>
                <c:pt idx="0">
                  <c:v>0.48</c:v>
                </c:pt>
                <c:pt idx="1">
                  <c:v>0.37</c:v>
                </c:pt>
                <c:pt idx="2">
                  <c:v>0.28999999999999998</c:v>
                </c:pt>
                <c:pt idx="3">
                  <c:v>0.28999999999999998</c:v>
                </c:pt>
                <c:pt idx="4">
                  <c:v>0.28999999999999998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C62-4940-BBE3-6C0F60159E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4238024"/>
        <c:axId val="804234504"/>
      </c:scatterChart>
      <c:valAx>
        <c:axId val="8042380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4234504"/>
        <c:crosses val="autoZero"/>
        <c:crossBetween val="midCat"/>
      </c:valAx>
      <c:valAx>
        <c:axId val="804234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42380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Performance!$M$16</c:f>
              <c:strCache>
                <c:ptCount val="1"/>
                <c:pt idx="0">
                  <c:v>Customer Awareness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Performance!$D$17:$D$21</c:f>
              <c:numCache>
                <c:formatCode>#,##0</c:formatCode>
                <c:ptCount val="5"/>
                <c:pt idx="0">
                  <c:v>485</c:v>
                </c:pt>
                <c:pt idx="1">
                  <c:v>440</c:v>
                </c:pt>
                <c:pt idx="2">
                  <c:v>360</c:v>
                </c:pt>
                <c:pt idx="3">
                  <c:v>313</c:v>
                </c:pt>
                <c:pt idx="4">
                  <c:v>303</c:v>
                </c:pt>
              </c:numCache>
            </c:numRef>
          </c:xVal>
          <c:yVal>
            <c:numRef>
              <c:f>Performance!$M$17:$M$21</c:f>
              <c:numCache>
                <c:formatCode>0.0%</c:formatCode>
                <c:ptCount val="5"/>
                <c:pt idx="0">
                  <c:v>0.754</c:v>
                </c:pt>
                <c:pt idx="1">
                  <c:v>0.58200000000000007</c:v>
                </c:pt>
                <c:pt idx="2">
                  <c:v>0.42499999999999999</c:v>
                </c:pt>
                <c:pt idx="3">
                  <c:v>0.42499999999999999</c:v>
                </c:pt>
                <c:pt idx="4">
                  <c:v>0.42499999999999999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2F7-4BAD-9639-3AA4133328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2184008"/>
        <c:axId val="812182600"/>
      </c:scatterChart>
      <c:valAx>
        <c:axId val="8121840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2182600"/>
        <c:crosses val="autoZero"/>
        <c:crossBetween val="midCat"/>
      </c:valAx>
      <c:valAx>
        <c:axId val="812182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21840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Size!$K$16</c:f>
              <c:strCache>
                <c:ptCount val="1"/>
                <c:pt idx="0">
                  <c:v>Customer Accessibility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Size!$D$17:$D$21</c:f>
              <c:numCache>
                <c:formatCode>#,##0</c:formatCode>
                <c:ptCount val="5"/>
                <c:pt idx="0">
                  <c:v>510</c:v>
                </c:pt>
                <c:pt idx="1">
                  <c:v>465</c:v>
                </c:pt>
                <c:pt idx="2">
                  <c:v>311</c:v>
                </c:pt>
                <c:pt idx="3">
                  <c:v>281</c:v>
                </c:pt>
                <c:pt idx="4">
                  <c:v>266</c:v>
                </c:pt>
              </c:numCache>
            </c:numRef>
          </c:xVal>
          <c:yVal>
            <c:numRef>
              <c:f>Size!$K$17:$K$21</c:f>
              <c:numCache>
                <c:formatCode>0.0%</c:formatCode>
                <c:ptCount val="5"/>
                <c:pt idx="0">
                  <c:v>0.55000000000000004</c:v>
                </c:pt>
                <c:pt idx="1">
                  <c:v>0.34</c:v>
                </c:pt>
                <c:pt idx="2">
                  <c:v>0.4</c:v>
                </c:pt>
                <c:pt idx="3">
                  <c:v>0.34</c:v>
                </c:pt>
                <c:pt idx="4">
                  <c:v>0.34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02E-43AA-AF3D-B0A6C943C4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2186120"/>
        <c:axId val="812184008"/>
      </c:scatterChart>
      <c:valAx>
        <c:axId val="8121861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2184008"/>
        <c:crosses val="autoZero"/>
        <c:crossBetween val="midCat"/>
      </c:valAx>
      <c:valAx>
        <c:axId val="812184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21861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Size!$M$16</c:f>
              <c:strCache>
                <c:ptCount val="1"/>
                <c:pt idx="0">
                  <c:v>Customer Awareness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Size!$D$17:$D$21</c:f>
              <c:numCache>
                <c:formatCode>#,##0</c:formatCode>
                <c:ptCount val="5"/>
                <c:pt idx="0">
                  <c:v>510</c:v>
                </c:pt>
                <c:pt idx="1">
                  <c:v>465</c:v>
                </c:pt>
                <c:pt idx="2">
                  <c:v>311</c:v>
                </c:pt>
                <c:pt idx="3">
                  <c:v>281</c:v>
                </c:pt>
                <c:pt idx="4">
                  <c:v>266</c:v>
                </c:pt>
              </c:numCache>
            </c:numRef>
          </c:xVal>
          <c:yVal>
            <c:numRef>
              <c:f>Size!$M$17:$M$21</c:f>
              <c:numCache>
                <c:formatCode>0.0%</c:formatCode>
                <c:ptCount val="5"/>
                <c:pt idx="0">
                  <c:v>0.754</c:v>
                </c:pt>
                <c:pt idx="1">
                  <c:v>0.42499999999999999</c:v>
                </c:pt>
                <c:pt idx="2">
                  <c:v>0.503</c:v>
                </c:pt>
                <c:pt idx="3">
                  <c:v>0.42499999999999999</c:v>
                </c:pt>
                <c:pt idx="4">
                  <c:v>0.42499999999999999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870-4E3A-AC7F-29CABD4C20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5212616"/>
        <c:axId val="765211208"/>
      </c:scatterChart>
      <c:valAx>
        <c:axId val="7652126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5211208"/>
        <c:crosses val="autoZero"/>
        <c:crossBetween val="midCat"/>
      </c:valAx>
      <c:valAx>
        <c:axId val="765211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52126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1432560</xdr:colOff>
      <xdr:row>29</xdr:row>
      <xdr:rowOff>19050</xdr:rowOff>
    </xdr:from>
    <xdr:to>
      <xdr:col>8</xdr:col>
      <xdr:colOff>312420</xdr:colOff>
      <xdr:row>44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944DE3B-5433-90EF-D1E4-9864A14A4E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571500</xdr:colOff>
      <xdr:row>29</xdr:row>
      <xdr:rowOff>87630</xdr:rowOff>
    </xdr:from>
    <xdr:to>
      <xdr:col>12</xdr:col>
      <xdr:colOff>960120</xdr:colOff>
      <xdr:row>44</xdr:row>
      <xdr:rowOff>87630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F6BB185-125E-A4B9-9EAB-2C1322ACEB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403860</xdr:colOff>
      <xdr:row>0</xdr:row>
      <xdr:rowOff>19050</xdr:rowOff>
    </xdr:from>
    <xdr:to>
      <xdr:col>10</xdr:col>
      <xdr:colOff>106680</xdr:colOff>
      <xdr:row>15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693987C-FC25-3B3D-1AFA-3C6421F2FA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68580</xdr:colOff>
      <xdr:row>0</xdr:row>
      <xdr:rowOff>0</xdr:rowOff>
    </xdr:from>
    <xdr:to>
      <xdr:col>9</xdr:col>
      <xdr:colOff>662940</xdr:colOff>
      <xdr:row>15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DDD1D5F-8480-B5BA-FBDF-8FD7318F5A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723900</xdr:colOff>
      <xdr:row>0</xdr:row>
      <xdr:rowOff>3810</xdr:rowOff>
    </xdr:from>
    <xdr:to>
      <xdr:col>13</xdr:col>
      <xdr:colOff>632460</xdr:colOff>
      <xdr:row>15</xdr:row>
      <xdr:rowOff>3810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8174226-C37C-A7C9-F941-FDFB890608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60960</xdr:colOff>
      <xdr:row>3</xdr:row>
      <xdr:rowOff>64770</xdr:rowOff>
    </xdr:from>
    <xdr:to>
      <xdr:col>8</xdr:col>
      <xdr:colOff>723900</xdr:colOff>
      <xdr:row>18</xdr:row>
      <xdr:rowOff>64770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DA9FA8F-1EF9-FE51-7559-6420EF260A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350520</xdr:colOff>
      <xdr:row>3</xdr:row>
      <xdr:rowOff>49530</xdr:rowOff>
    </xdr:from>
    <xdr:to>
      <xdr:col>13</xdr:col>
      <xdr:colOff>190500</xdr:colOff>
      <xdr:row>18</xdr:row>
      <xdr:rowOff>49530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A2600E8-ED8A-1E27-B435-53199D4AF3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426720</xdr:colOff>
      <xdr:row>0</xdr:row>
      <xdr:rowOff>0</xdr:rowOff>
    </xdr:from>
    <xdr:to>
      <xdr:col>10</xdr:col>
      <xdr:colOff>99060</xdr:colOff>
      <xdr:row>14</xdr:row>
      <xdr:rowOff>106680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AA6DF26-8D7C-AE20-D1C4-B1B7E40A6F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213360</xdr:colOff>
      <xdr:row>0</xdr:row>
      <xdr:rowOff>110490</xdr:rowOff>
    </xdr:from>
    <xdr:to>
      <xdr:col>13</xdr:col>
      <xdr:colOff>1036320</xdr:colOff>
      <xdr:row>13</xdr:row>
      <xdr:rowOff>106680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919957A-47CF-804F-69DB-9CE4474020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99060</xdr:colOff>
      <xdr:row>0</xdr:row>
      <xdr:rowOff>0</xdr:rowOff>
    </xdr:from>
    <xdr:to>
      <xdr:col>9</xdr:col>
      <xdr:colOff>693420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394A8BC-C341-B333-3DC0-A45812489D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731520</xdr:colOff>
      <xdr:row>0</xdr:row>
      <xdr:rowOff>34290</xdr:rowOff>
    </xdr:from>
    <xdr:to>
      <xdr:col>13</xdr:col>
      <xdr:colOff>640080</xdr:colOff>
      <xdr:row>15</xdr:row>
      <xdr:rowOff>34290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977525C-6953-B63A-DFD6-9285B1EE10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1"/>
  <sheetViews>
    <sheetView workbookViewId="0"/>
  </sheetViews>
  <sheetFormatPr defaultRowHeight="14.4" x14ac:dyDescent="0.3"/>
  <cols>
    <col min="1" max="1" width="25" customWidth="1"/>
    <col min="2" max="2" width="26" customWidth="1"/>
    <col min="3" max="3" width="21" customWidth="1"/>
    <col min="4" max="4" width="22" customWidth="1"/>
    <col min="5" max="5" width="25" customWidth="1"/>
    <col min="6" max="6" width="26" customWidth="1"/>
    <col min="7" max="7" width="22" customWidth="1"/>
    <col min="8" max="8" width="0" hidden="1" customWidth="1"/>
    <col min="9" max="9" width="25" customWidth="1"/>
    <col min="10" max="10" width="26" customWidth="1"/>
    <col min="11" max="11" width="11" customWidth="1"/>
    <col min="12" max="12" width="0" hidden="1" customWidth="1"/>
    <col min="13" max="13" width="25" customWidth="1"/>
    <col min="14" max="14" width="27" customWidth="1"/>
    <col min="15" max="15" width="11" customWidth="1"/>
    <col min="16" max="16" width="0" hidden="1" customWidth="1"/>
    <col min="17" max="18" width="25" customWidth="1"/>
    <col min="19" max="19" width="11" customWidth="1"/>
    <col min="20" max="30" width="0" hidden="1" customWidth="1"/>
  </cols>
  <sheetData>
    <row r="1" spans="1:17" x14ac:dyDescent="0.3">
      <c r="A1" s="1" t="s">
        <v>0</v>
      </c>
    </row>
    <row r="2" spans="1:17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17" x14ac:dyDescent="0.3">
      <c r="A3" t="s">
        <v>8</v>
      </c>
      <c r="B3" s="9">
        <v>3.4000000000000002E-2</v>
      </c>
      <c r="C3" s="9">
        <v>3.7999999999999999E-2</v>
      </c>
      <c r="D3" s="9">
        <v>-3.0000000000000001E-3</v>
      </c>
      <c r="E3" s="9">
        <v>-0.09</v>
      </c>
      <c r="F3" s="9">
        <v>1E-3</v>
      </c>
      <c r="G3" s="9">
        <v>-4.000000000000001E-3</v>
      </c>
    </row>
    <row r="4" spans="1:17" x14ac:dyDescent="0.3">
      <c r="A4" t="s">
        <v>9</v>
      </c>
      <c r="B4" s="4">
        <v>1.05</v>
      </c>
      <c r="C4" s="4">
        <v>1.08</v>
      </c>
      <c r="D4" s="4">
        <v>1.1100000000000001</v>
      </c>
      <c r="E4" s="4">
        <v>0.75</v>
      </c>
      <c r="F4" s="4">
        <v>1.1299999999999999</v>
      </c>
      <c r="G4" s="4">
        <v>1.024</v>
      </c>
    </row>
    <row r="5" spans="1:17" x14ac:dyDescent="0.3">
      <c r="A5" t="s">
        <v>10</v>
      </c>
      <c r="B5" s="9">
        <v>3.5000000000000003E-2</v>
      </c>
      <c r="C5" s="9">
        <v>4.0999999999999995E-2</v>
      </c>
      <c r="D5" s="9">
        <v>-4.0000000000000001E-3</v>
      </c>
      <c r="E5" s="9">
        <v>-6.8000000000000005E-2</v>
      </c>
      <c r="F5" s="9">
        <v>1E-3</v>
      </c>
      <c r="G5" s="9">
        <v>9.9999999999999894E-4</v>
      </c>
    </row>
    <row r="6" spans="1:17" x14ac:dyDescent="0.3">
      <c r="A6" t="s">
        <v>11</v>
      </c>
      <c r="B6" s="4">
        <v>1.93</v>
      </c>
      <c r="C6" s="4">
        <v>1.92</v>
      </c>
      <c r="D6" s="4">
        <v>1.9</v>
      </c>
      <c r="E6" s="4">
        <v>3.15</v>
      </c>
      <c r="F6" s="4">
        <v>2.33</v>
      </c>
      <c r="G6" s="4">
        <v>2.246</v>
      </c>
    </row>
    <row r="7" spans="1:17" x14ac:dyDescent="0.3">
      <c r="A7" t="s">
        <v>12</v>
      </c>
      <c r="B7" s="9">
        <v>6.8000000000000005E-2</v>
      </c>
      <c r="C7" s="9">
        <v>0.08</v>
      </c>
      <c r="D7" s="9">
        <v>-6.9999999999999993E-3</v>
      </c>
      <c r="E7" s="9">
        <v>-0.214</v>
      </c>
      <c r="F7" s="9">
        <v>3.0000000000000001E-3</v>
      </c>
      <c r="G7" s="9">
        <v>-1.3999999999999995E-2</v>
      </c>
    </row>
    <row r="8" spans="1:17" x14ac:dyDescent="0.3">
      <c r="A8" t="s">
        <v>13</v>
      </c>
      <c r="B8" s="5">
        <v>104677</v>
      </c>
      <c r="C8" s="5">
        <v>107967</v>
      </c>
      <c r="D8" s="5">
        <v>119443</v>
      </c>
      <c r="E8" s="5">
        <v>91884</v>
      </c>
      <c r="F8" s="5">
        <v>140227</v>
      </c>
      <c r="G8" s="5">
        <v>112839.6</v>
      </c>
    </row>
    <row r="9" spans="1:17" x14ac:dyDescent="0.3">
      <c r="A9" t="s">
        <v>14</v>
      </c>
      <c r="B9" s="5">
        <v>10950</v>
      </c>
      <c r="C9" s="5">
        <v>11946</v>
      </c>
      <c r="D9" s="5">
        <v>5078</v>
      </c>
      <c r="E9" s="5">
        <v>-1768</v>
      </c>
      <c r="F9" s="5">
        <v>7962</v>
      </c>
      <c r="G9" s="5">
        <v>6833.6</v>
      </c>
    </row>
    <row r="10" spans="1:17" x14ac:dyDescent="0.3">
      <c r="A10" t="s">
        <v>15</v>
      </c>
      <c r="B10" s="5">
        <v>3522</v>
      </c>
      <c r="C10" s="5">
        <v>4156</v>
      </c>
      <c r="D10" s="5">
        <v>-380</v>
      </c>
      <c r="E10" s="5">
        <v>-8287</v>
      </c>
      <c r="F10" s="5">
        <v>180</v>
      </c>
      <c r="G10" s="5">
        <v>-161.80000000000001</v>
      </c>
    </row>
    <row r="11" spans="1:17" x14ac:dyDescent="0.3">
      <c r="A11" t="s">
        <v>16</v>
      </c>
      <c r="B11" s="5">
        <v>7707</v>
      </c>
      <c r="C11" s="5">
        <v>8342</v>
      </c>
      <c r="D11" s="5">
        <v>3806</v>
      </c>
      <c r="E11" s="5">
        <v>-4102</v>
      </c>
      <c r="F11" s="5">
        <v>4366</v>
      </c>
      <c r="G11" s="5">
        <v>4023.8</v>
      </c>
    </row>
    <row r="12" spans="1:17" x14ac:dyDescent="0.3">
      <c r="A12" t="s">
        <v>17</v>
      </c>
      <c r="B12" s="9">
        <v>0.1211</v>
      </c>
      <c r="C12" s="9">
        <v>0.1119</v>
      </c>
      <c r="D12" s="9">
        <v>0.14400000000000002</v>
      </c>
      <c r="E12" s="9">
        <v>0.13780000000000001</v>
      </c>
      <c r="F12" s="9">
        <v>0.17100000000000001</v>
      </c>
      <c r="G12" s="9">
        <v>0.13716</v>
      </c>
    </row>
    <row r="13" spans="1:17" x14ac:dyDescent="0.3">
      <c r="A13" t="s">
        <v>18</v>
      </c>
      <c r="B13" s="9">
        <v>0.29820000000000002</v>
      </c>
      <c r="C13" s="9">
        <v>0.2928</v>
      </c>
      <c r="D13" s="9">
        <v>0.2631</v>
      </c>
      <c r="E13" s="9">
        <v>0.2266</v>
      </c>
      <c r="F13" s="9">
        <v>0.30159999999999998</v>
      </c>
      <c r="G13" s="9">
        <v>0.27645999999999998</v>
      </c>
    </row>
    <row r="14" spans="1:17" x14ac:dyDescent="0.3">
      <c r="A14" t="s">
        <v>19</v>
      </c>
      <c r="B14" s="5">
        <v>0</v>
      </c>
      <c r="C14" s="5">
        <v>0</v>
      </c>
      <c r="D14" s="5">
        <v>1546</v>
      </c>
      <c r="E14" s="5">
        <v>39658</v>
      </c>
      <c r="F14" s="5">
        <v>0</v>
      </c>
      <c r="G14" s="5">
        <v>8240.7999999999993</v>
      </c>
    </row>
    <row r="16" spans="1:17" x14ac:dyDescent="0.3">
      <c r="A16" t="s">
        <v>20</v>
      </c>
      <c r="E16" t="s">
        <v>21</v>
      </c>
      <c r="I16" t="s">
        <v>22</v>
      </c>
      <c r="M16" t="s">
        <v>23</v>
      </c>
      <c r="Q16" t="s">
        <v>24</v>
      </c>
    </row>
    <row r="17" spans="1:19" x14ac:dyDescent="0.3">
      <c r="A17" s="1" t="s">
        <v>25</v>
      </c>
      <c r="B17" s="1" t="s">
        <v>26</v>
      </c>
      <c r="C17" s="1" t="s">
        <v>27</v>
      </c>
      <c r="E17" s="1" t="s">
        <v>25</v>
      </c>
      <c r="F17" s="1" t="s">
        <v>26</v>
      </c>
      <c r="G17" s="1" t="s">
        <v>27</v>
      </c>
      <c r="I17" s="1" t="s">
        <v>25</v>
      </c>
      <c r="J17" s="1" t="s">
        <v>26</v>
      </c>
      <c r="K17" s="1" t="s">
        <v>27</v>
      </c>
      <c r="M17" s="1" t="s">
        <v>25</v>
      </c>
      <c r="N17" s="1" t="s">
        <v>26</v>
      </c>
      <c r="O17" s="1" t="s">
        <v>27</v>
      </c>
      <c r="Q17" s="1" t="s">
        <v>25</v>
      </c>
      <c r="R17" s="1" t="s">
        <v>26</v>
      </c>
      <c r="S17" s="1" t="s">
        <v>27</v>
      </c>
    </row>
    <row r="18" spans="1:19" x14ac:dyDescent="0.3">
      <c r="A18" t="s">
        <v>28</v>
      </c>
      <c r="B18" t="s">
        <v>29</v>
      </c>
      <c r="C18" s="7">
        <v>0.47</v>
      </c>
      <c r="E18" t="s">
        <v>30</v>
      </c>
      <c r="F18" t="s">
        <v>36</v>
      </c>
      <c r="G18" s="7">
        <v>0.53</v>
      </c>
      <c r="I18" t="s">
        <v>32</v>
      </c>
      <c r="J18" t="s">
        <v>40</v>
      </c>
      <c r="K18" s="7">
        <v>0.43</v>
      </c>
      <c r="M18" t="s">
        <v>34</v>
      </c>
      <c r="N18" t="s">
        <v>44</v>
      </c>
      <c r="O18" s="7">
        <v>0.43</v>
      </c>
      <c r="Q18" t="s">
        <v>32</v>
      </c>
      <c r="R18" t="s">
        <v>48</v>
      </c>
      <c r="S18" s="7">
        <v>0.43</v>
      </c>
    </row>
    <row r="19" spans="1:19" x14ac:dyDescent="0.3">
      <c r="A19" t="s">
        <v>30</v>
      </c>
      <c r="B19" t="s">
        <v>31</v>
      </c>
      <c r="C19" s="7">
        <v>0.23</v>
      </c>
      <c r="E19" t="s">
        <v>28</v>
      </c>
      <c r="F19" t="s">
        <v>37</v>
      </c>
      <c r="G19" s="7">
        <v>0.24</v>
      </c>
      <c r="I19" t="s">
        <v>28</v>
      </c>
      <c r="J19" t="s">
        <v>41</v>
      </c>
      <c r="K19" s="7">
        <v>0.28999999999999998</v>
      </c>
      <c r="M19" t="s">
        <v>32</v>
      </c>
      <c r="N19" t="s">
        <v>45</v>
      </c>
      <c r="O19" s="7">
        <v>0.28999999999999998</v>
      </c>
      <c r="Q19" t="s">
        <v>28</v>
      </c>
      <c r="R19" t="s">
        <v>47</v>
      </c>
      <c r="S19" s="7">
        <v>0.28999999999999998</v>
      </c>
    </row>
    <row r="20" spans="1:19" x14ac:dyDescent="0.3">
      <c r="A20" t="s">
        <v>32</v>
      </c>
      <c r="B20" t="s">
        <v>33</v>
      </c>
      <c r="C20" s="7">
        <v>0.21</v>
      </c>
      <c r="E20" t="s">
        <v>32</v>
      </c>
      <c r="F20" t="s">
        <v>38</v>
      </c>
      <c r="G20" s="7">
        <v>0.16</v>
      </c>
      <c r="I20" t="s">
        <v>34</v>
      </c>
      <c r="J20" t="s">
        <v>42</v>
      </c>
      <c r="K20" s="7">
        <v>0.19</v>
      </c>
      <c r="M20" t="s">
        <v>30</v>
      </c>
      <c r="N20" t="s">
        <v>46</v>
      </c>
      <c r="O20" s="7">
        <v>0.19</v>
      </c>
      <c r="Q20" t="s">
        <v>34</v>
      </c>
      <c r="R20" t="s">
        <v>49</v>
      </c>
      <c r="S20" s="7">
        <v>0.19</v>
      </c>
    </row>
    <row r="21" spans="1:19" x14ac:dyDescent="0.3">
      <c r="A21" t="s">
        <v>34</v>
      </c>
      <c r="B21" t="s">
        <v>35</v>
      </c>
      <c r="C21" s="7">
        <v>0.09</v>
      </c>
      <c r="E21" t="s">
        <v>34</v>
      </c>
      <c r="F21" t="s">
        <v>39</v>
      </c>
      <c r="G21" s="7">
        <v>7.0000000000000007E-2</v>
      </c>
      <c r="I21" t="s">
        <v>30</v>
      </c>
      <c r="J21" t="s">
        <v>43</v>
      </c>
      <c r="K21" s="7">
        <v>0.09</v>
      </c>
      <c r="M21" t="s">
        <v>28</v>
      </c>
      <c r="N21" t="s">
        <v>47</v>
      </c>
      <c r="O21" s="7">
        <v>0.09</v>
      </c>
      <c r="Q21" t="s">
        <v>30</v>
      </c>
      <c r="R21" t="s">
        <v>46</v>
      </c>
      <c r="S21" s="7">
        <v>0.09</v>
      </c>
    </row>
    <row r="23" spans="1:19" x14ac:dyDescent="0.3">
      <c r="A23" s="1" t="s">
        <v>50</v>
      </c>
    </row>
    <row r="24" spans="1:19" x14ac:dyDescent="0.3">
      <c r="A24" s="1" t="s">
        <v>51</v>
      </c>
      <c r="B24" s="1" t="s">
        <v>23</v>
      </c>
      <c r="C24" s="1" t="s">
        <v>24</v>
      </c>
      <c r="D24" s="1" t="s">
        <v>34</v>
      </c>
      <c r="E24" s="1" t="s">
        <v>28</v>
      </c>
      <c r="F24" s="1" t="s">
        <v>52</v>
      </c>
    </row>
    <row r="25" spans="1:19" x14ac:dyDescent="0.3">
      <c r="A25" t="s">
        <v>53</v>
      </c>
      <c r="B25" s="3">
        <v>5.9</v>
      </c>
      <c r="C25" s="3">
        <v>14.5</v>
      </c>
      <c r="D25" s="2">
        <v>17950</v>
      </c>
      <c r="E25" s="3">
        <v>2.4</v>
      </c>
      <c r="F25" t="s">
        <v>54</v>
      </c>
    </row>
    <row r="26" spans="1:19" x14ac:dyDescent="0.3">
      <c r="A26" t="s">
        <v>55</v>
      </c>
      <c r="B26" s="3">
        <v>2.4</v>
      </c>
      <c r="C26" s="3">
        <v>17.600000000000001</v>
      </c>
      <c r="D26" s="2">
        <v>14550</v>
      </c>
      <c r="E26" s="3">
        <v>3</v>
      </c>
      <c r="F26" t="s">
        <v>56</v>
      </c>
    </row>
    <row r="27" spans="1:19" x14ac:dyDescent="0.3">
      <c r="A27" t="s">
        <v>57</v>
      </c>
      <c r="B27" s="3">
        <v>8.8000000000000007</v>
      </c>
      <c r="C27" s="3">
        <v>11.1</v>
      </c>
      <c r="D27" s="2">
        <v>23000</v>
      </c>
      <c r="E27" s="3">
        <v>1.5</v>
      </c>
      <c r="F27" t="s">
        <v>58</v>
      </c>
    </row>
    <row r="28" spans="1:19" x14ac:dyDescent="0.3">
      <c r="A28" t="s">
        <v>59</v>
      </c>
      <c r="B28" s="3">
        <v>8.4</v>
      </c>
      <c r="C28" s="3">
        <v>15.5</v>
      </c>
      <c r="D28" s="2">
        <v>25600</v>
      </c>
      <c r="E28" s="3">
        <v>2</v>
      </c>
      <c r="F28" t="s">
        <v>60</v>
      </c>
    </row>
    <row r="29" spans="1:19" x14ac:dyDescent="0.3">
      <c r="A29" t="s">
        <v>61</v>
      </c>
      <c r="B29" s="3">
        <v>3.1</v>
      </c>
      <c r="C29" s="3">
        <v>11.2</v>
      </c>
      <c r="D29" s="2">
        <v>19550</v>
      </c>
      <c r="E29" s="3">
        <v>2</v>
      </c>
      <c r="F29" t="s">
        <v>62</v>
      </c>
    </row>
    <row r="30" spans="1:19" x14ac:dyDescent="0.3">
      <c r="A30" t="s">
        <v>63</v>
      </c>
      <c r="B30" t="s">
        <v>64</v>
      </c>
      <c r="C30" t="s">
        <v>64</v>
      </c>
      <c r="D30" t="s">
        <v>64</v>
      </c>
      <c r="E30" t="s">
        <v>64</v>
      </c>
      <c r="F30" t="s">
        <v>65</v>
      </c>
    </row>
    <row r="31" spans="1:19" x14ac:dyDescent="0.3">
      <c r="A31" t="s">
        <v>66</v>
      </c>
      <c r="B31" s="3">
        <v>6</v>
      </c>
      <c r="C31" s="3">
        <v>14</v>
      </c>
      <c r="D31" s="2">
        <v>17500</v>
      </c>
      <c r="E31" s="3">
        <v>2.2999999999999998</v>
      </c>
      <c r="F31" t="s">
        <v>67</v>
      </c>
    </row>
    <row r="32" spans="1:19" x14ac:dyDescent="0.3">
      <c r="A32" t="s">
        <v>68</v>
      </c>
      <c r="B32" s="3">
        <v>2.5</v>
      </c>
      <c r="C32" s="3">
        <v>17.899999999999999</v>
      </c>
      <c r="D32" s="2">
        <v>14000</v>
      </c>
      <c r="E32" s="3">
        <v>3</v>
      </c>
      <c r="F32" t="s">
        <v>69</v>
      </c>
    </row>
    <row r="33" spans="1:6" x14ac:dyDescent="0.3">
      <c r="A33" t="s">
        <v>70</v>
      </c>
      <c r="B33" s="3">
        <v>8.8000000000000007</v>
      </c>
      <c r="C33" s="3">
        <v>11</v>
      </c>
      <c r="D33" s="2">
        <v>23000</v>
      </c>
      <c r="E33" s="3">
        <v>1.5</v>
      </c>
      <c r="F33" t="s">
        <v>71</v>
      </c>
    </row>
    <row r="34" spans="1:6" x14ac:dyDescent="0.3">
      <c r="A34" t="s">
        <v>72</v>
      </c>
      <c r="B34" s="3">
        <v>10.7</v>
      </c>
      <c r="C34" s="3">
        <v>15</v>
      </c>
      <c r="D34" s="2">
        <v>25000</v>
      </c>
      <c r="E34" s="3">
        <v>1.8</v>
      </c>
      <c r="F34" t="s">
        <v>73</v>
      </c>
    </row>
    <row r="35" spans="1:6" x14ac:dyDescent="0.3">
      <c r="A35" t="s">
        <v>74</v>
      </c>
      <c r="B35" s="3">
        <v>4.3</v>
      </c>
      <c r="C35" s="3">
        <v>10.199999999999999</v>
      </c>
      <c r="D35" s="2">
        <v>19000</v>
      </c>
      <c r="E35" s="3">
        <v>2.1</v>
      </c>
      <c r="F35" t="s">
        <v>75</v>
      </c>
    </row>
    <row r="36" spans="1:6" x14ac:dyDescent="0.3">
      <c r="A36" t="s">
        <v>76</v>
      </c>
      <c r="B36" s="3">
        <v>5.7</v>
      </c>
      <c r="C36" s="3">
        <v>14.3</v>
      </c>
      <c r="D36" s="2">
        <v>15000</v>
      </c>
      <c r="E36" s="3">
        <v>2.4</v>
      </c>
      <c r="F36" t="s">
        <v>77</v>
      </c>
    </row>
    <row r="37" spans="1:6" x14ac:dyDescent="0.3">
      <c r="A37" t="s">
        <v>78</v>
      </c>
      <c r="B37" s="3">
        <v>2.2000000000000002</v>
      </c>
      <c r="C37" s="3">
        <v>17.8</v>
      </c>
      <c r="D37" s="2">
        <v>14000</v>
      </c>
      <c r="E37" s="3">
        <v>2.9</v>
      </c>
      <c r="F37" t="s">
        <v>71</v>
      </c>
    </row>
    <row r="38" spans="1:6" x14ac:dyDescent="0.3">
      <c r="A38" t="s">
        <v>79</v>
      </c>
      <c r="B38" s="3">
        <v>9.1</v>
      </c>
      <c r="C38" s="3">
        <v>10.8</v>
      </c>
      <c r="D38" s="2">
        <v>23000</v>
      </c>
      <c r="E38" s="3">
        <v>1.4</v>
      </c>
      <c r="F38" t="s">
        <v>80</v>
      </c>
    </row>
    <row r="39" spans="1:6" x14ac:dyDescent="0.3">
      <c r="A39" t="s">
        <v>81</v>
      </c>
      <c r="B39" s="3">
        <v>10.4</v>
      </c>
      <c r="C39" s="3">
        <v>15.4</v>
      </c>
      <c r="D39" s="2">
        <v>26000</v>
      </c>
      <c r="E39" s="3">
        <v>2</v>
      </c>
      <c r="F39" t="s">
        <v>82</v>
      </c>
    </row>
    <row r="40" spans="1:6" x14ac:dyDescent="0.3">
      <c r="A40" t="s">
        <v>83</v>
      </c>
      <c r="B40" s="3">
        <v>4.7</v>
      </c>
      <c r="C40" s="3">
        <v>9.6</v>
      </c>
      <c r="D40" s="2">
        <v>19000</v>
      </c>
      <c r="E40" s="3">
        <v>1.8</v>
      </c>
      <c r="F40" t="s">
        <v>84</v>
      </c>
    </row>
    <row r="41" spans="1:6" x14ac:dyDescent="0.3">
      <c r="A41" t="s">
        <v>85</v>
      </c>
      <c r="B41" s="3">
        <v>5.8</v>
      </c>
      <c r="C41" s="3">
        <v>14.2</v>
      </c>
      <c r="D41" s="2">
        <v>14000</v>
      </c>
      <c r="E41" s="3">
        <v>2.2999999999999998</v>
      </c>
      <c r="F41" t="s">
        <v>86</v>
      </c>
    </row>
    <row r="42" spans="1:6" x14ac:dyDescent="0.3">
      <c r="A42" t="s">
        <v>87</v>
      </c>
      <c r="B42" s="3">
        <v>2.2999999999999998</v>
      </c>
      <c r="C42" s="3">
        <v>17.5</v>
      </c>
      <c r="D42" s="2">
        <v>12100</v>
      </c>
      <c r="E42" s="3">
        <v>3</v>
      </c>
      <c r="F42" t="s">
        <v>88</v>
      </c>
    </row>
    <row r="43" spans="1:6" x14ac:dyDescent="0.3">
      <c r="A43" t="s">
        <v>89</v>
      </c>
      <c r="B43" s="3">
        <v>10.5</v>
      </c>
      <c r="C43" s="3">
        <v>15.2</v>
      </c>
      <c r="D43" s="2">
        <v>27000</v>
      </c>
      <c r="E43" s="3">
        <v>1.9</v>
      </c>
      <c r="F43" t="s">
        <v>90</v>
      </c>
    </row>
    <row r="44" spans="1:6" x14ac:dyDescent="0.3">
      <c r="A44" t="s">
        <v>91</v>
      </c>
      <c r="B44" s="3">
        <v>9.1</v>
      </c>
      <c r="C44" s="3">
        <v>10.8</v>
      </c>
      <c r="D44" s="2">
        <v>23750</v>
      </c>
      <c r="E44" s="3">
        <v>1.4</v>
      </c>
      <c r="F44" t="s">
        <v>92</v>
      </c>
    </row>
    <row r="45" spans="1:6" x14ac:dyDescent="0.3">
      <c r="A45" t="s">
        <v>93</v>
      </c>
      <c r="B45" s="3">
        <v>4.8</v>
      </c>
      <c r="C45" s="3">
        <v>9.6</v>
      </c>
      <c r="D45" s="2">
        <v>20000</v>
      </c>
      <c r="E45" s="3">
        <v>1.8</v>
      </c>
      <c r="F45" t="s">
        <v>92</v>
      </c>
    </row>
    <row r="46" spans="1:6" x14ac:dyDescent="0.3">
      <c r="A46" t="s">
        <v>94</v>
      </c>
      <c r="B46" t="s">
        <v>64</v>
      </c>
      <c r="C46" t="s">
        <v>64</v>
      </c>
      <c r="D46" t="s">
        <v>64</v>
      </c>
      <c r="E46" t="s">
        <v>64</v>
      </c>
      <c r="F46" t="s">
        <v>95</v>
      </c>
    </row>
    <row r="47" spans="1:6" x14ac:dyDescent="0.3">
      <c r="A47" t="s">
        <v>96</v>
      </c>
      <c r="B47" s="3">
        <v>6.1</v>
      </c>
      <c r="C47" s="3">
        <v>13.9</v>
      </c>
      <c r="D47" s="2">
        <v>19000</v>
      </c>
      <c r="E47" s="3">
        <v>2.2999999999999998</v>
      </c>
      <c r="F47" t="s">
        <v>97</v>
      </c>
    </row>
    <row r="48" spans="1:6" x14ac:dyDescent="0.3">
      <c r="A48" t="s">
        <v>98</v>
      </c>
      <c r="B48" s="3">
        <v>3</v>
      </c>
      <c r="C48" s="3">
        <v>17</v>
      </c>
      <c r="D48" s="2">
        <v>14000</v>
      </c>
      <c r="E48" s="3">
        <v>5.6</v>
      </c>
      <c r="F48" t="s">
        <v>99</v>
      </c>
    </row>
    <row r="49" spans="1:6" x14ac:dyDescent="0.3">
      <c r="A49" t="s">
        <v>100</v>
      </c>
      <c r="B49" s="3">
        <v>8.8000000000000007</v>
      </c>
      <c r="C49" s="3">
        <v>11.2</v>
      </c>
      <c r="D49" s="2">
        <v>25000</v>
      </c>
      <c r="E49" s="3">
        <v>1.5</v>
      </c>
      <c r="F49" t="s">
        <v>101</v>
      </c>
    </row>
    <row r="50" spans="1:6" x14ac:dyDescent="0.3">
      <c r="A50" t="s">
        <v>102</v>
      </c>
      <c r="B50" s="3">
        <v>10.4</v>
      </c>
      <c r="C50" s="3">
        <v>14.7</v>
      </c>
      <c r="D50" s="2">
        <v>27000</v>
      </c>
      <c r="E50" s="3">
        <v>1.8</v>
      </c>
      <c r="F50" t="s">
        <v>103</v>
      </c>
    </row>
    <row r="51" spans="1:6" x14ac:dyDescent="0.3">
      <c r="A51" t="s">
        <v>104</v>
      </c>
      <c r="B51" s="3">
        <v>4.7</v>
      </c>
      <c r="C51" s="3">
        <v>9.9</v>
      </c>
      <c r="D51" s="2">
        <v>20000</v>
      </c>
      <c r="E51" s="3">
        <v>1.9</v>
      </c>
      <c r="F51" t="s">
        <v>105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8"/>
  <sheetViews>
    <sheetView workbookViewId="0">
      <selection activeCell="B27" sqref="B27"/>
    </sheetView>
  </sheetViews>
  <sheetFormatPr defaultRowHeight="14.4" x14ac:dyDescent="0.3"/>
  <cols>
    <col min="1" max="1" width="28" customWidth="1"/>
    <col min="2" max="2" width="26" customWidth="1"/>
    <col min="3" max="3" width="11" customWidth="1"/>
    <col min="4" max="4" width="15" customWidth="1"/>
    <col min="5" max="5" width="10" customWidth="1"/>
    <col min="6" max="6" width="4" customWidth="1"/>
    <col min="7" max="7" width="12" customWidth="1"/>
    <col min="8" max="8" width="5" customWidth="1"/>
    <col min="9" max="9" width="12" customWidth="1"/>
    <col min="10" max="10" width="13" customWidth="1"/>
    <col min="11" max="11" width="23" customWidth="1"/>
    <col min="12" max="12" width="13" customWidth="1"/>
    <col min="13" max="13" width="19" customWidth="1"/>
    <col min="14" max="14" width="22" customWidth="1"/>
    <col min="15" max="30" width="0" hidden="1" customWidth="1"/>
  </cols>
  <sheetData>
    <row r="1" spans="1:14" x14ac:dyDescent="0.3">
      <c r="A1" s="1" t="s">
        <v>20</v>
      </c>
    </row>
    <row r="2" spans="1:14" x14ac:dyDescent="0.3">
      <c r="A2" s="1" t="s">
        <v>25</v>
      </c>
    </row>
    <row r="3" spans="1:14" x14ac:dyDescent="0.3">
      <c r="A3" s="1" t="s">
        <v>1</v>
      </c>
      <c r="B3" s="1" t="s">
        <v>26</v>
      </c>
      <c r="C3" s="1" t="s">
        <v>27</v>
      </c>
    </row>
    <row r="4" spans="1:14" x14ac:dyDescent="0.3">
      <c r="A4" t="s">
        <v>28</v>
      </c>
      <c r="B4" t="s">
        <v>29</v>
      </c>
      <c r="C4" s="7">
        <v>0.47</v>
      </c>
    </row>
    <row r="5" spans="1:14" x14ac:dyDescent="0.3">
      <c r="A5" t="s">
        <v>30</v>
      </c>
      <c r="B5" t="s">
        <v>31</v>
      </c>
      <c r="C5" s="7">
        <v>0.23</v>
      </c>
    </row>
    <row r="6" spans="1:14" x14ac:dyDescent="0.3">
      <c r="A6" t="s">
        <v>32</v>
      </c>
      <c r="B6" t="s">
        <v>33</v>
      </c>
      <c r="C6" s="7">
        <v>0.21</v>
      </c>
    </row>
    <row r="7" spans="1:14" x14ac:dyDescent="0.3">
      <c r="A7" t="s">
        <v>34</v>
      </c>
      <c r="B7" t="s">
        <v>35</v>
      </c>
      <c r="C7" s="7">
        <v>0.09</v>
      </c>
    </row>
    <row r="9" spans="1:14" x14ac:dyDescent="0.3">
      <c r="A9" s="1" t="s">
        <v>106</v>
      </c>
    </row>
    <row r="10" spans="1:14" x14ac:dyDescent="0.3">
      <c r="A10" t="s">
        <v>107</v>
      </c>
      <c r="B10" s="2">
        <v>6722</v>
      </c>
    </row>
    <row r="11" spans="1:14" x14ac:dyDescent="0.3">
      <c r="A11" t="s">
        <v>108</v>
      </c>
      <c r="B11" s="2">
        <v>6722</v>
      </c>
    </row>
    <row r="12" spans="1:14" x14ac:dyDescent="0.3">
      <c r="A12" t="s">
        <v>109</v>
      </c>
      <c r="B12" s="8">
        <v>0.30399999999999999</v>
      </c>
    </row>
    <row r="13" spans="1:14" x14ac:dyDescent="0.3">
      <c r="A13" t="s">
        <v>110</v>
      </c>
      <c r="B13" s="8">
        <v>9.1999999999999998E-2</v>
      </c>
    </row>
    <row r="15" spans="1:14" x14ac:dyDescent="0.3">
      <c r="A15" s="1" t="s">
        <v>111</v>
      </c>
    </row>
    <row r="16" spans="1:14" x14ac:dyDescent="0.3">
      <c r="A16" s="1" t="s">
        <v>51</v>
      </c>
      <c r="B16" s="1" t="s">
        <v>30</v>
      </c>
      <c r="C16" s="1" t="s">
        <v>112</v>
      </c>
      <c r="D16" s="1" t="s">
        <v>113</v>
      </c>
      <c r="E16" s="1" t="s">
        <v>114</v>
      </c>
      <c r="F16" s="1" t="s">
        <v>28</v>
      </c>
      <c r="G16" s="1" t="s">
        <v>23</v>
      </c>
      <c r="H16" s="1" t="s">
        <v>24</v>
      </c>
      <c r="I16" s="1" t="s">
        <v>34</v>
      </c>
      <c r="J16" s="1" t="s">
        <v>115</v>
      </c>
      <c r="K16" s="1" t="s">
        <v>116</v>
      </c>
      <c r="L16" s="1" t="s">
        <v>117</v>
      </c>
      <c r="M16" s="1" t="s">
        <v>118</v>
      </c>
      <c r="N16" s="1" t="s">
        <v>119</v>
      </c>
    </row>
    <row r="17" spans="1:14" x14ac:dyDescent="0.3">
      <c r="A17" t="s">
        <v>76</v>
      </c>
      <c r="B17" s="6">
        <v>26.75</v>
      </c>
      <c r="C17" s="2">
        <v>1439</v>
      </c>
      <c r="D17" s="2">
        <v>1436</v>
      </c>
      <c r="E17" t="s">
        <v>120</v>
      </c>
      <c r="F17" s="3">
        <v>2.4</v>
      </c>
      <c r="G17" s="3">
        <v>5.7</v>
      </c>
      <c r="H17" s="3">
        <v>14.3</v>
      </c>
      <c r="I17" s="2">
        <v>15000</v>
      </c>
      <c r="J17" s="5">
        <v>1500</v>
      </c>
      <c r="K17" s="8">
        <v>0.61</v>
      </c>
      <c r="L17" s="5">
        <v>1200</v>
      </c>
      <c r="M17" s="8">
        <v>0.64599999999999991</v>
      </c>
      <c r="N17" s="2">
        <v>37</v>
      </c>
    </row>
    <row r="18" spans="1:14" x14ac:dyDescent="0.3">
      <c r="A18" t="s">
        <v>96</v>
      </c>
      <c r="B18" s="6">
        <v>28</v>
      </c>
      <c r="C18" s="2">
        <v>1359</v>
      </c>
      <c r="D18" s="2">
        <v>1357</v>
      </c>
      <c r="E18" t="s">
        <v>120</v>
      </c>
      <c r="F18" s="3">
        <v>2.2999999999999998</v>
      </c>
      <c r="G18" s="3">
        <v>6.1</v>
      </c>
      <c r="H18" s="3">
        <v>13.9</v>
      </c>
      <c r="I18" s="2">
        <v>19000</v>
      </c>
      <c r="J18" s="5">
        <v>2000</v>
      </c>
      <c r="K18" s="8">
        <v>0.63</v>
      </c>
      <c r="L18" s="5">
        <v>2000</v>
      </c>
      <c r="M18" s="8">
        <v>0.81700000000000006</v>
      </c>
      <c r="N18" s="2">
        <v>47</v>
      </c>
    </row>
    <row r="19" spans="1:14" x14ac:dyDescent="0.3">
      <c r="A19" t="s">
        <v>53</v>
      </c>
      <c r="B19" s="6">
        <v>28</v>
      </c>
      <c r="C19" s="2">
        <v>1281</v>
      </c>
      <c r="D19" s="2">
        <v>1279</v>
      </c>
      <c r="E19" t="s">
        <v>120</v>
      </c>
      <c r="F19" s="3">
        <v>2.4</v>
      </c>
      <c r="G19" s="3">
        <v>5.9</v>
      </c>
      <c r="H19" s="3">
        <v>14.5</v>
      </c>
      <c r="I19" s="2">
        <v>17950</v>
      </c>
      <c r="J19" s="5">
        <v>1000</v>
      </c>
      <c r="K19" s="8">
        <v>0.5</v>
      </c>
      <c r="L19" s="5">
        <v>1000</v>
      </c>
      <c r="M19" s="8">
        <v>0.58299999999999996</v>
      </c>
      <c r="N19" s="2">
        <v>34</v>
      </c>
    </row>
    <row r="20" spans="1:14" x14ac:dyDescent="0.3">
      <c r="A20" t="s">
        <v>66</v>
      </c>
      <c r="B20" s="6">
        <v>28</v>
      </c>
      <c r="C20" s="2">
        <v>1145</v>
      </c>
      <c r="D20" s="2">
        <v>1143</v>
      </c>
      <c r="E20" t="s">
        <v>120</v>
      </c>
      <c r="F20" s="3">
        <v>2.2999999999999998</v>
      </c>
      <c r="G20" s="3">
        <v>6</v>
      </c>
      <c r="H20" s="3">
        <v>14</v>
      </c>
      <c r="I20" s="2">
        <v>17500</v>
      </c>
      <c r="J20" s="5">
        <v>1000</v>
      </c>
      <c r="K20" s="8">
        <v>0.5</v>
      </c>
      <c r="L20" s="5">
        <v>1000</v>
      </c>
      <c r="M20" s="8">
        <v>0.58299999999999996</v>
      </c>
      <c r="N20" s="2">
        <v>34</v>
      </c>
    </row>
    <row r="21" spans="1:14" x14ac:dyDescent="0.3">
      <c r="A21" t="s">
        <v>85</v>
      </c>
      <c r="B21" s="6">
        <v>28</v>
      </c>
      <c r="C21" s="2">
        <v>1001</v>
      </c>
      <c r="D21" s="2">
        <v>999</v>
      </c>
      <c r="E21" t="s">
        <v>120</v>
      </c>
      <c r="F21" s="3">
        <v>2.2999999999999998</v>
      </c>
      <c r="G21" s="3">
        <v>5.8</v>
      </c>
      <c r="H21" s="3">
        <v>14.2</v>
      </c>
      <c r="I21" s="2">
        <v>14000</v>
      </c>
      <c r="J21" s="5">
        <v>1000</v>
      </c>
      <c r="K21" s="8">
        <v>0.46</v>
      </c>
      <c r="L21" s="5">
        <v>1000</v>
      </c>
      <c r="M21" s="8">
        <v>0.58299999999999996</v>
      </c>
      <c r="N21" s="2">
        <v>28</v>
      </c>
    </row>
    <row r="22" spans="1:14" x14ac:dyDescent="0.3">
      <c r="A22" t="s">
        <v>98</v>
      </c>
      <c r="B22" s="6">
        <v>21</v>
      </c>
      <c r="C22" s="2">
        <v>127</v>
      </c>
      <c r="D22" s="2">
        <v>127</v>
      </c>
      <c r="E22" t="s">
        <v>120</v>
      </c>
      <c r="F22" s="3">
        <v>5.6</v>
      </c>
      <c r="G22" s="3">
        <v>3</v>
      </c>
      <c r="H22" s="3">
        <v>17</v>
      </c>
      <c r="I22" s="2">
        <v>14000</v>
      </c>
      <c r="J22" s="5">
        <v>900</v>
      </c>
      <c r="K22" s="8">
        <v>0.63</v>
      </c>
      <c r="L22" s="5">
        <v>2000</v>
      </c>
      <c r="M22" s="8">
        <v>0.79599999999999993</v>
      </c>
      <c r="N22" s="2">
        <v>1</v>
      </c>
    </row>
    <row r="23" spans="1:14" x14ac:dyDescent="0.3">
      <c r="A23" t="s">
        <v>78</v>
      </c>
      <c r="B23" s="6">
        <v>19</v>
      </c>
      <c r="C23" s="2">
        <v>109</v>
      </c>
      <c r="D23" s="2">
        <v>115</v>
      </c>
      <c r="E23" t="s">
        <v>121</v>
      </c>
      <c r="F23" s="3">
        <v>2.9</v>
      </c>
      <c r="G23" s="3">
        <v>2.2000000000000002</v>
      </c>
      <c r="H23" s="3">
        <v>17.8</v>
      </c>
      <c r="I23" s="2">
        <v>14000</v>
      </c>
      <c r="J23" s="5">
        <v>1600</v>
      </c>
      <c r="K23" s="8">
        <v>0.61</v>
      </c>
      <c r="L23" s="5">
        <v>1200</v>
      </c>
      <c r="M23" s="8">
        <v>0.624</v>
      </c>
      <c r="N23" s="2">
        <v>0</v>
      </c>
    </row>
    <row r="24" spans="1:14" x14ac:dyDescent="0.3">
      <c r="A24" t="s">
        <v>68</v>
      </c>
      <c r="B24" s="6">
        <v>20.25</v>
      </c>
      <c r="C24" s="2">
        <v>94</v>
      </c>
      <c r="D24" s="2">
        <v>94</v>
      </c>
      <c r="E24" t="s">
        <v>120</v>
      </c>
      <c r="F24" s="3">
        <v>3</v>
      </c>
      <c r="G24" s="3">
        <v>2.5</v>
      </c>
      <c r="H24" s="3">
        <v>17.899999999999999</v>
      </c>
      <c r="I24" s="2">
        <v>14000</v>
      </c>
      <c r="J24" s="5">
        <v>900</v>
      </c>
      <c r="K24" s="8">
        <v>0.5</v>
      </c>
      <c r="L24" s="5">
        <v>900</v>
      </c>
      <c r="M24" s="8">
        <v>0.52900000000000003</v>
      </c>
      <c r="N24" s="2">
        <v>0</v>
      </c>
    </row>
    <row r="25" spans="1:14" x14ac:dyDescent="0.3">
      <c r="A25" t="s">
        <v>55</v>
      </c>
      <c r="B25" s="6">
        <v>21</v>
      </c>
      <c r="C25" s="2">
        <v>80</v>
      </c>
      <c r="D25" s="2">
        <v>79</v>
      </c>
      <c r="E25" t="s">
        <v>120</v>
      </c>
      <c r="F25" s="3">
        <v>3</v>
      </c>
      <c r="G25" s="3">
        <v>2.4</v>
      </c>
      <c r="H25" s="3">
        <v>17.600000000000001</v>
      </c>
      <c r="I25" s="2">
        <v>14550</v>
      </c>
      <c r="J25" s="5">
        <v>900</v>
      </c>
      <c r="K25" s="8">
        <v>0.5</v>
      </c>
      <c r="L25" s="5">
        <v>900</v>
      </c>
      <c r="M25" s="8">
        <v>0.52900000000000003</v>
      </c>
      <c r="N25" s="2">
        <v>0</v>
      </c>
    </row>
    <row r="26" spans="1:14" x14ac:dyDescent="0.3">
      <c r="A26" t="s">
        <v>59</v>
      </c>
      <c r="B26" s="6">
        <v>33</v>
      </c>
      <c r="C26" s="2">
        <v>54</v>
      </c>
      <c r="D26" s="2">
        <v>54</v>
      </c>
      <c r="E26" t="s">
        <v>120</v>
      </c>
      <c r="F26" s="3">
        <v>2</v>
      </c>
      <c r="G26" s="3">
        <v>8.4</v>
      </c>
      <c r="H26" s="3">
        <v>15.5</v>
      </c>
      <c r="I26" s="2">
        <v>25600</v>
      </c>
      <c r="J26" s="5">
        <v>700</v>
      </c>
      <c r="K26" s="8">
        <v>0.5</v>
      </c>
      <c r="L26" s="5">
        <v>700</v>
      </c>
      <c r="M26" s="8">
        <v>0.42499999999999999</v>
      </c>
      <c r="N26" s="2">
        <v>4</v>
      </c>
    </row>
    <row r="27" spans="1:14" x14ac:dyDescent="0.3">
      <c r="A27" t="s">
        <v>87</v>
      </c>
      <c r="B27" s="6">
        <v>15.75</v>
      </c>
      <c r="C27" s="2">
        <v>18</v>
      </c>
      <c r="D27" s="2">
        <v>24</v>
      </c>
      <c r="E27" t="s">
        <v>121</v>
      </c>
      <c r="F27" s="3">
        <v>3</v>
      </c>
      <c r="G27" s="3">
        <v>2.2999999999999998</v>
      </c>
      <c r="H27" s="3">
        <v>17.5</v>
      </c>
      <c r="I27" s="2">
        <v>12100</v>
      </c>
      <c r="J27" s="5">
        <v>900</v>
      </c>
      <c r="K27" s="8">
        <v>0.46</v>
      </c>
      <c r="L27" s="5">
        <v>900</v>
      </c>
      <c r="M27" s="8">
        <v>0.52900000000000003</v>
      </c>
      <c r="N27" s="2">
        <v>0</v>
      </c>
    </row>
    <row r="28" spans="1:14" x14ac:dyDescent="0.3">
      <c r="A28" t="s">
        <v>83</v>
      </c>
      <c r="B28" s="6">
        <v>32</v>
      </c>
      <c r="C28" s="2">
        <v>8</v>
      </c>
      <c r="D28" s="2">
        <v>8</v>
      </c>
      <c r="E28" t="s">
        <v>120</v>
      </c>
      <c r="F28" s="3">
        <v>1.8</v>
      </c>
      <c r="G28" s="3">
        <v>4.7</v>
      </c>
      <c r="H28" s="3">
        <v>9.6</v>
      </c>
      <c r="I28" s="2">
        <v>19000</v>
      </c>
      <c r="J28" s="5">
        <v>1000</v>
      </c>
      <c r="K28" s="8">
        <v>0.61</v>
      </c>
      <c r="L28" s="5">
        <v>950</v>
      </c>
      <c r="M28" s="8">
        <v>0.503</v>
      </c>
      <c r="N28" s="2">
        <v>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24"/>
  <sheetViews>
    <sheetView workbookViewId="0">
      <selection activeCell="C18" sqref="C18"/>
    </sheetView>
  </sheetViews>
  <sheetFormatPr defaultRowHeight="14.4" x14ac:dyDescent="0.3"/>
  <cols>
    <col min="1" max="1" width="28" customWidth="1"/>
    <col min="2" max="2" width="26" customWidth="1"/>
    <col min="3" max="3" width="11" customWidth="1"/>
    <col min="4" max="4" width="15" customWidth="1"/>
    <col min="5" max="5" width="10" customWidth="1"/>
    <col min="6" max="6" width="4" customWidth="1"/>
    <col min="7" max="7" width="12" customWidth="1"/>
    <col min="8" max="8" width="5" customWidth="1"/>
    <col min="9" max="9" width="12" customWidth="1"/>
    <col min="10" max="10" width="13" customWidth="1"/>
    <col min="11" max="11" width="23" customWidth="1"/>
    <col min="12" max="12" width="13" customWidth="1"/>
    <col min="13" max="13" width="19" customWidth="1"/>
    <col min="14" max="14" width="22" customWidth="1"/>
    <col min="15" max="30" width="0" hidden="1" customWidth="1"/>
  </cols>
  <sheetData>
    <row r="1" spans="1:14" x14ac:dyDescent="0.3">
      <c r="A1" s="1" t="s">
        <v>21</v>
      </c>
    </row>
    <row r="2" spans="1:14" x14ac:dyDescent="0.3">
      <c r="A2" s="1" t="s">
        <v>25</v>
      </c>
    </row>
    <row r="3" spans="1:14" x14ac:dyDescent="0.3">
      <c r="A3" s="1" t="s">
        <v>1</v>
      </c>
      <c r="B3" s="1" t="s">
        <v>26</v>
      </c>
      <c r="C3" s="1" t="s">
        <v>27</v>
      </c>
    </row>
    <row r="4" spans="1:14" x14ac:dyDescent="0.3">
      <c r="A4" t="s">
        <v>30</v>
      </c>
      <c r="B4" t="s">
        <v>36</v>
      </c>
      <c r="C4" s="7">
        <v>0.53</v>
      </c>
    </row>
    <row r="5" spans="1:14" x14ac:dyDescent="0.3">
      <c r="A5" t="s">
        <v>28</v>
      </c>
      <c r="B5" t="s">
        <v>37</v>
      </c>
      <c r="C5" s="7">
        <v>0.24</v>
      </c>
    </row>
    <row r="6" spans="1:14" x14ac:dyDescent="0.3">
      <c r="A6" t="s">
        <v>32</v>
      </c>
      <c r="B6" t="s">
        <v>38</v>
      </c>
      <c r="C6" s="7">
        <v>0.16</v>
      </c>
    </row>
    <row r="7" spans="1:14" x14ac:dyDescent="0.3">
      <c r="A7" t="s">
        <v>34</v>
      </c>
      <c r="B7" t="s">
        <v>39</v>
      </c>
      <c r="C7" s="7">
        <v>7.0000000000000007E-2</v>
      </c>
    </row>
    <row r="9" spans="1:14" x14ac:dyDescent="0.3">
      <c r="A9" s="1" t="s">
        <v>106</v>
      </c>
    </row>
    <row r="10" spans="1:14" x14ac:dyDescent="0.3">
      <c r="A10" t="s">
        <v>107</v>
      </c>
      <c r="B10" s="2">
        <v>8341</v>
      </c>
    </row>
    <row r="11" spans="1:14" x14ac:dyDescent="0.3">
      <c r="A11" t="s">
        <v>108</v>
      </c>
      <c r="B11" s="2">
        <v>8341</v>
      </c>
    </row>
    <row r="12" spans="1:14" x14ac:dyDescent="0.3">
      <c r="A12" t="s">
        <v>109</v>
      </c>
      <c r="B12" s="8">
        <v>0.38600000000000001</v>
      </c>
    </row>
    <row r="13" spans="1:14" x14ac:dyDescent="0.3">
      <c r="A13" t="s">
        <v>110</v>
      </c>
      <c r="B13" s="8">
        <v>0.11699999999999999</v>
      </c>
    </row>
    <row r="15" spans="1:14" x14ac:dyDescent="0.3">
      <c r="A15" s="1" t="s">
        <v>111</v>
      </c>
    </row>
    <row r="16" spans="1:14" x14ac:dyDescent="0.3">
      <c r="A16" s="1" t="s">
        <v>51</v>
      </c>
      <c r="B16" s="1" t="s">
        <v>30</v>
      </c>
      <c r="C16" s="1" t="s">
        <v>112</v>
      </c>
      <c r="D16" s="1" t="s">
        <v>113</v>
      </c>
      <c r="E16" s="1" t="s">
        <v>114</v>
      </c>
      <c r="F16" s="1" t="s">
        <v>28</v>
      </c>
      <c r="G16" s="1" t="s">
        <v>23</v>
      </c>
      <c r="H16" s="1" t="s">
        <v>24</v>
      </c>
      <c r="I16" s="1" t="s">
        <v>34</v>
      </c>
      <c r="J16" s="1" t="s">
        <v>115</v>
      </c>
      <c r="K16" s="1" t="s">
        <v>116</v>
      </c>
      <c r="L16" s="1" t="s">
        <v>117</v>
      </c>
      <c r="M16" s="1" t="s">
        <v>118</v>
      </c>
      <c r="N16" s="1" t="s">
        <v>119</v>
      </c>
    </row>
    <row r="17" spans="1:14" x14ac:dyDescent="0.3">
      <c r="A17" t="s">
        <v>78</v>
      </c>
      <c r="B17" s="6">
        <v>19</v>
      </c>
      <c r="C17" s="2">
        <v>1930</v>
      </c>
      <c r="D17" s="2">
        <v>1968</v>
      </c>
      <c r="E17" t="s">
        <v>121</v>
      </c>
      <c r="F17" s="3">
        <v>2.9</v>
      </c>
      <c r="G17" s="3">
        <v>2.2000000000000002</v>
      </c>
      <c r="H17" s="3">
        <v>17.8</v>
      </c>
      <c r="I17" s="2">
        <v>14000</v>
      </c>
      <c r="J17" s="5">
        <v>1600</v>
      </c>
      <c r="K17" s="8">
        <v>0.44</v>
      </c>
      <c r="L17" s="5">
        <v>1200</v>
      </c>
      <c r="M17" s="8">
        <v>0.624</v>
      </c>
      <c r="N17" s="2">
        <v>20</v>
      </c>
    </row>
    <row r="18" spans="1:14" x14ac:dyDescent="0.3">
      <c r="A18" t="s">
        <v>87</v>
      </c>
      <c r="B18" s="6">
        <v>15.75</v>
      </c>
      <c r="C18" s="2">
        <v>1817</v>
      </c>
      <c r="D18" s="2">
        <v>2468</v>
      </c>
      <c r="E18" t="s">
        <v>121</v>
      </c>
      <c r="F18" s="3">
        <v>3</v>
      </c>
      <c r="G18" s="3">
        <v>2.2999999999999998</v>
      </c>
      <c r="H18" s="3">
        <v>17.5</v>
      </c>
      <c r="I18" s="2">
        <v>12100</v>
      </c>
      <c r="J18" s="5">
        <v>900</v>
      </c>
      <c r="K18" s="8">
        <v>0.33</v>
      </c>
      <c r="L18" s="5">
        <v>900</v>
      </c>
      <c r="M18" s="8">
        <v>0.52900000000000003</v>
      </c>
      <c r="N18" s="2">
        <v>25</v>
      </c>
    </row>
    <row r="19" spans="1:14" x14ac:dyDescent="0.3">
      <c r="A19" t="s">
        <v>98</v>
      </c>
      <c r="B19" s="6">
        <v>21</v>
      </c>
      <c r="C19" s="2">
        <v>1723</v>
      </c>
      <c r="D19" s="2">
        <v>1467</v>
      </c>
      <c r="E19" t="s">
        <v>120</v>
      </c>
      <c r="F19" s="3">
        <v>5.6</v>
      </c>
      <c r="G19" s="3">
        <v>3</v>
      </c>
      <c r="H19" s="3">
        <v>17</v>
      </c>
      <c r="I19" s="2">
        <v>14000</v>
      </c>
      <c r="J19" s="5">
        <v>900</v>
      </c>
      <c r="K19" s="8">
        <v>0.34</v>
      </c>
      <c r="L19" s="5">
        <v>2000</v>
      </c>
      <c r="M19" s="8">
        <v>0.79599999999999993</v>
      </c>
      <c r="N19" s="2">
        <v>18</v>
      </c>
    </row>
    <row r="20" spans="1:14" x14ac:dyDescent="0.3">
      <c r="A20" t="s">
        <v>68</v>
      </c>
      <c r="B20" s="6">
        <v>20.25</v>
      </c>
      <c r="C20" s="2">
        <v>1537</v>
      </c>
      <c r="D20" s="2">
        <v>1304</v>
      </c>
      <c r="E20" t="s">
        <v>120</v>
      </c>
      <c r="F20" s="3">
        <v>3</v>
      </c>
      <c r="G20" s="3">
        <v>2.5</v>
      </c>
      <c r="H20" s="3">
        <v>17.899999999999999</v>
      </c>
      <c r="I20" s="2">
        <v>14000</v>
      </c>
      <c r="J20" s="5">
        <v>900</v>
      </c>
      <c r="K20" s="8">
        <v>0.33</v>
      </c>
      <c r="L20" s="5">
        <v>900</v>
      </c>
      <c r="M20" s="8">
        <v>0.52900000000000003</v>
      </c>
      <c r="N20" s="2">
        <v>14</v>
      </c>
    </row>
    <row r="21" spans="1:14" x14ac:dyDescent="0.3">
      <c r="A21" t="s">
        <v>55</v>
      </c>
      <c r="B21" s="6">
        <v>21</v>
      </c>
      <c r="C21" s="2">
        <v>1329</v>
      </c>
      <c r="D21" s="2">
        <v>1129</v>
      </c>
      <c r="E21" t="s">
        <v>120</v>
      </c>
      <c r="F21" s="3">
        <v>3</v>
      </c>
      <c r="G21" s="3">
        <v>2.4</v>
      </c>
      <c r="H21" s="3">
        <v>17.600000000000001</v>
      </c>
      <c r="I21" s="2">
        <v>14550</v>
      </c>
      <c r="J21" s="5">
        <v>900</v>
      </c>
      <c r="K21" s="8">
        <v>0.33</v>
      </c>
      <c r="L21" s="5">
        <v>900</v>
      </c>
      <c r="M21" s="8">
        <v>0.52900000000000003</v>
      </c>
      <c r="N21" s="2">
        <v>12</v>
      </c>
    </row>
    <row r="22" spans="1:14" x14ac:dyDescent="0.3">
      <c r="A22" t="s">
        <v>76</v>
      </c>
      <c r="B22" s="6">
        <v>26.75</v>
      </c>
      <c r="C22" s="2">
        <v>2</v>
      </c>
      <c r="D22" s="2">
        <v>2</v>
      </c>
      <c r="E22" t="s">
        <v>120</v>
      </c>
      <c r="F22" s="3">
        <v>2.4</v>
      </c>
      <c r="G22" s="3">
        <v>5.7</v>
      </c>
      <c r="H22" s="3">
        <v>14.3</v>
      </c>
      <c r="I22" s="2">
        <v>15000</v>
      </c>
      <c r="J22" s="5">
        <v>1500</v>
      </c>
      <c r="K22" s="8">
        <v>0.44</v>
      </c>
      <c r="L22" s="5">
        <v>1200</v>
      </c>
      <c r="M22" s="8">
        <v>0.64599999999999991</v>
      </c>
      <c r="N22" s="2">
        <v>0</v>
      </c>
    </row>
    <row r="23" spans="1:14" x14ac:dyDescent="0.3">
      <c r="A23" t="s">
        <v>53</v>
      </c>
      <c r="B23" s="6">
        <v>28</v>
      </c>
      <c r="C23" s="2">
        <v>1</v>
      </c>
      <c r="D23" s="2">
        <v>1</v>
      </c>
      <c r="E23" t="s">
        <v>120</v>
      </c>
      <c r="F23" s="3">
        <v>2.4</v>
      </c>
      <c r="G23" s="3">
        <v>5.9</v>
      </c>
      <c r="H23" s="3">
        <v>14.5</v>
      </c>
      <c r="I23" s="2">
        <v>17950</v>
      </c>
      <c r="J23" s="5">
        <v>1000</v>
      </c>
      <c r="K23" s="8">
        <v>0.33</v>
      </c>
      <c r="L23" s="5">
        <v>1000</v>
      </c>
      <c r="M23" s="8">
        <v>0.58299999999999996</v>
      </c>
      <c r="N23" s="2">
        <v>0</v>
      </c>
    </row>
    <row r="24" spans="1:14" x14ac:dyDescent="0.3">
      <c r="A24" t="s">
        <v>96</v>
      </c>
      <c r="B24" s="6">
        <v>28</v>
      </c>
      <c r="C24" s="2">
        <v>1</v>
      </c>
      <c r="D24" s="2">
        <v>1</v>
      </c>
      <c r="E24" t="s">
        <v>120</v>
      </c>
      <c r="F24" s="3">
        <v>2.2999999999999998</v>
      </c>
      <c r="G24" s="3">
        <v>6.1</v>
      </c>
      <c r="H24" s="3">
        <v>13.9</v>
      </c>
      <c r="I24" s="2">
        <v>19000</v>
      </c>
      <c r="J24" s="5">
        <v>2000</v>
      </c>
      <c r="K24" s="8">
        <v>0.34</v>
      </c>
      <c r="L24" s="5">
        <v>2000</v>
      </c>
      <c r="M24" s="8">
        <v>0.81700000000000006</v>
      </c>
      <c r="N24" s="2">
        <v>0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28"/>
  <sheetViews>
    <sheetView topLeftCell="A2" workbookViewId="0">
      <selection activeCell="B14" sqref="B14"/>
    </sheetView>
  </sheetViews>
  <sheetFormatPr defaultRowHeight="14.4" x14ac:dyDescent="0.3"/>
  <cols>
    <col min="1" max="1" width="28" customWidth="1"/>
    <col min="2" max="2" width="26" customWidth="1"/>
    <col min="3" max="3" width="11" customWidth="1"/>
    <col min="4" max="4" width="15" customWidth="1"/>
    <col min="5" max="5" width="10" customWidth="1"/>
    <col min="6" max="6" width="4" customWidth="1"/>
    <col min="7" max="7" width="12" customWidth="1"/>
    <col min="8" max="8" width="5" customWidth="1"/>
    <col min="9" max="9" width="12" customWidth="1"/>
    <col min="10" max="10" width="13" customWidth="1"/>
    <col min="11" max="11" width="23" customWidth="1"/>
    <col min="12" max="12" width="13" customWidth="1"/>
    <col min="13" max="13" width="20" customWidth="1"/>
    <col min="14" max="14" width="22" customWidth="1"/>
    <col min="15" max="30" width="0" hidden="1" customWidth="1"/>
  </cols>
  <sheetData>
    <row r="1" spans="1:14" x14ac:dyDescent="0.3">
      <c r="A1" s="1" t="s">
        <v>22</v>
      </c>
    </row>
    <row r="2" spans="1:14" x14ac:dyDescent="0.3">
      <c r="A2" s="1" t="s">
        <v>25</v>
      </c>
    </row>
    <row r="3" spans="1:14" x14ac:dyDescent="0.3">
      <c r="A3" s="1" t="s">
        <v>1</v>
      </c>
      <c r="B3" s="1" t="s">
        <v>26</v>
      </c>
      <c r="C3" s="1" t="s">
        <v>27</v>
      </c>
    </row>
    <row r="4" spans="1:14" x14ac:dyDescent="0.3">
      <c r="A4" t="s">
        <v>32</v>
      </c>
      <c r="B4" t="s">
        <v>40</v>
      </c>
      <c r="C4" s="7">
        <v>0.43</v>
      </c>
    </row>
    <row r="5" spans="1:14" x14ac:dyDescent="0.3">
      <c r="A5" t="s">
        <v>28</v>
      </c>
      <c r="B5" t="s">
        <v>41</v>
      </c>
      <c r="C5" s="7">
        <v>0.28999999999999998</v>
      </c>
    </row>
    <row r="6" spans="1:14" x14ac:dyDescent="0.3">
      <c r="A6" t="s">
        <v>34</v>
      </c>
      <c r="B6" t="s">
        <v>42</v>
      </c>
      <c r="C6" s="7">
        <v>0.19</v>
      </c>
    </row>
    <row r="7" spans="1:14" x14ac:dyDescent="0.3">
      <c r="A7" t="s">
        <v>30</v>
      </c>
      <c r="B7" t="s">
        <v>43</v>
      </c>
      <c r="C7" s="7">
        <v>0.09</v>
      </c>
    </row>
    <row r="9" spans="1:14" x14ac:dyDescent="0.3">
      <c r="A9" s="1" t="s">
        <v>106</v>
      </c>
    </row>
    <row r="10" spans="1:14" x14ac:dyDescent="0.3">
      <c r="A10" t="s">
        <v>107</v>
      </c>
      <c r="B10" s="2">
        <v>2473</v>
      </c>
    </row>
    <row r="11" spans="1:14" x14ac:dyDescent="0.3">
      <c r="A11" t="s">
        <v>108</v>
      </c>
      <c r="B11" s="2">
        <v>2473</v>
      </c>
    </row>
    <row r="12" spans="1:14" x14ac:dyDescent="0.3">
      <c r="A12" t="s">
        <v>109</v>
      </c>
      <c r="B12" s="8">
        <v>0.11900000000000001</v>
      </c>
    </row>
    <row r="13" spans="1:14" x14ac:dyDescent="0.3">
      <c r="A13" t="s">
        <v>110</v>
      </c>
      <c r="B13" s="8">
        <v>0.16200000000000001</v>
      </c>
    </row>
    <row r="15" spans="1:14" x14ac:dyDescent="0.3">
      <c r="A15" s="1" t="s">
        <v>111</v>
      </c>
    </row>
    <row r="16" spans="1:14" x14ac:dyDescent="0.3">
      <c r="A16" s="1" t="s">
        <v>51</v>
      </c>
      <c r="B16" s="1" t="s">
        <v>30</v>
      </c>
      <c r="C16" s="1" t="s">
        <v>112</v>
      </c>
      <c r="D16" s="1" t="s">
        <v>113</v>
      </c>
      <c r="E16" s="1" t="s">
        <v>114</v>
      </c>
      <c r="F16" s="1" t="s">
        <v>28</v>
      </c>
      <c r="G16" s="1" t="s">
        <v>23</v>
      </c>
      <c r="H16" s="1" t="s">
        <v>24</v>
      </c>
      <c r="I16" s="1" t="s">
        <v>34</v>
      </c>
      <c r="J16" s="1" t="s">
        <v>115</v>
      </c>
      <c r="K16" s="1" t="s">
        <v>116</v>
      </c>
      <c r="L16" s="1" t="s">
        <v>117</v>
      </c>
      <c r="M16" s="1" t="s">
        <v>118</v>
      </c>
      <c r="N16" s="1" t="s">
        <v>119</v>
      </c>
    </row>
    <row r="17" spans="1:14" x14ac:dyDescent="0.3">
      <c r="A17" t="s">
        <v>100</v>
      </c>
      <c r="B17" s="6">
        <v>38.5</v>
      </c>
      <c r="C17" s="2">
        <v>638</v>
      </c>
      <c r="D17" s="2">
        <v>638</v>
      </c>
      <c r="E17" t="s">
        <v>120</v>
      </c>
      <c r="F17" s="3">
        <v>1.5</v>
      </c>
      <c r="G17" s="3">
        <v>8.8000000000000007</v>
      </c>
      <c r="H17" s="3">
        <v>11.2</v>
      </c>
      <c r="I17" s="2">
        <v>25000</v>
      </c>
      <c r="J17" s="5">
        <v>2000</v>
      </c>
      <c r="K17" s="8">
        <v>0.61</v>
      </c>
      <c r="L17" s="5">
        <v>2000</v>
      </c>
      <c r="M17" s="8">
        <v>0.77400000000000002</v>
      </c>
      <c r="N17" s="2">
        <v>35</v>
      </c>
    </row>
    <row r="18" spans="1:14" x14ac:dyDescent="0.3">
      <c r="A18" t="s">
        <v>79</v>
      </c>
      <c r="B18" s="6">
        <v>37</v>
      </c>
      <c r="C18" s="2">
        <v>425</v>
      </c>
      <c r="D18" s="2">
        <v>425</v>
      </c>
      <c r="E18" t="s">
        <v>120</v>
      </c>
      <c r="F18" s="3">
        <v>1.4</v>
      </c>
      <c r="G18" s="3">
        <v>9.1</v>
      </c>
      <c r="H18" s="3">
        <v>10.8</v>
      </c>
      <c r="I18" s="2">
        <v>23000</v>
      </c>
      <c r="J18" s="5">
        <v>1500</v>
      </c>
      <c r="K18" s="8">
        <v>0.52</v>
      </c>
      <c r="L18" s="5">
        <v>1200</v>
      </c>
      <c r="M18" s="8">
        <v>0.60299999999999998</v>
      </c>
      <c r="N18" s="2">
        <v>31</v>
      </c>
    </row>
    <row r="19" spans="1:14" x14ac:dyDescent="0.3">
      <c r="A19" t="s">
        <v>70</v>
      </c>
      <c r="B19" s="6">
        <v>38</v>
      </c>
      <c r="C19" s="2">
        <v>419</v>
      </c>
      <c r="D19" s="2">
        <v>419</v>
      </c>
      <c r="E19" t="s">
        <v>120</v>
      </c>
      <c r="F19" s="3">
        <v>1.5</v>
      </c>
      <c r="G19" s="3">
        <v>8.8000000000000007</v>
      </c>
      <c r="H19" s="3">
        <v>11</v>
      </c>
      <c r="I19" s="2">
        <v>23000</v>
      </c>
      <c r="J19" s="5">
        <v>800</v>
      </c>
      <c r="K19" s="8">
        <v>0.41</v>
      </c>
      <c r="L19" s="5">
        <v>800</v>
      </c>
      <c r="M19" s="8">
        <v>0.47600000000000003</v>
      </c>
      <c r="N19" s="2">
        <v>21</v>
      </c>
    </row>
    <row r="20" spans="1:14" x14ac:dyDescent="0.3">
      <c r="A20" t="s">
        <v>57</v>
      </c>
      <c r="B20" s="6">
        <v>38</v>
      </c>
      <c r="C20" s="2">
        <v>415</v>
      </c>
      <c r="D20" s="2">
        <v>415</v>
      </c>
      <c r="E20" t="s">
        <v>120</v>
      </c>
      <c r="F20" s="3">
        <v>1.5</v>
      </c>
      <c r="G20" s="3">
        <v>8.8000000000000007</v>
      </c>
      <c r="H20" s="3">
        <v>11.1</v>
      </c>
      <c r="I20" s="2">
        <v>23000</v>
      </c>
      <c r="J20" s="5">
        <v>800</v>
      </c>
      <c r="K20" s="8">
        <v>0.41</v>
      </c>
      <c r="L20" s="5">
        <v>800</v>
      </c>
      <c r="M20" s="8">
        <v>0.47600000000000003</v>
      </c>
      <c r="N20" s="2">
        <v>20</v>
      </c>
    </row>
    <row r="21" spans="1:14" x14ac:dyDescent="0.3">
      <c r="A21" t="s">
        <v>91</v>
      </c>
      <c r="B21" s="6">
        <v>38</v>
      </c>
      <c r="C21" s="2">
        <v>333</v>
      </c>
      <c r="D21" s="2">
        <v>333</v>
      </c>
      <c r="E21" t="s">
        <v>120</v>
      </c>
      <c r="F21" s="3">
        <v>1.4</v>
      </c>
      <c r="G21" s="3">
        <v>9.1</v>
      </c>
      <c r="H21" s="3">
        <v>10.8</v>
      </c>
      <c r="I21" s="2">
        <v>23750</v>
      </c>
      <c r="J21" s="5">
        <v>800</v>
      </c>
      <c r="K21" s="8">
        <v>0.41</v>
      </c>
      <c r="L21" s="5">
        <v>800</v>
      </c>
      <c r="M21" s="8">
        <v>0.47600000000000003</v>
      </c>
      <c r="N21" s="2">
        <v>26</v>
      </c>
    </row>
    <row r="22" spans="1:14" x14ac:dyDescent="0.3">
      <c r="A22" t="s">
        <v>102</v>
      </c>
      <c r="B22" s="6">
        <v>34.25</v>
      </c>
      <c r="C22" s="2">
        <v>50</v>
      </c>
      <c r="D22" s="2">
        <v>50</v>
      </c>
      <c r="E22" t="s">
        <v>120</v>
      </c>
      <c r="F22" s="3">
        <v>1.8</v>
      </c>
      <c r="G22" s="3">
        <v>10.4</v>
      </c>
      <c r="H22" s="3">
        <v>14.7</v>
      </c>
      <c r="I22" s="2">
        <v>27000</v>
      </c>
      <c r="J22" s="5">
        <v>2000</v>
      </c>
      <c r="K22" s="8">
        <v>0.61</v>
      </c>
      <c r="L22" s="5">
        <v>2000</v>
      </c>
      <c r="M22" s="8">
        <v>0.754</v>
      </c>
      <c r="N22" s="2">
        <v>3</v>
      </c>
    </row>
    <row r="23" spans="1:14" x14ac:dyDescent="0.3">
      <c r="A23" t="s">
        <v>59</v>
      </c>
      <c r="B23" s="6">
        <v>33</v>
      </c>
      <c r="C23" s="2">
        <v>38</v>
      </c>
      <c r="D23" s="2">
        <v>38</v>
      </c>
      <c r="E23" t="s">
        <v>120</v>
      </c>
      <c r="F23" s="3">
        <v>2</v>
      </c>
      <c r="G23" s="3">
        <v>8.4</v>
      </c>
      <c r="H23" s="3">
        <v>15.5</v>
      </c>
      <c r="I23" s="2">
        <v>25600</v>
      </c>
      <c r="J23" s="5">
        <v>700</v>
      </c>
      <c r="K23" s="8">
        <v>0.41</v>
      </c>
      <c r="L23" s="5">
        <v>700</v>
      </c>
      <c r="M23" s="8">
        <v>0.42499999999999999</v>
      </c>
      <c r="N23" s="2">
        <v>1</v>
      </c>
    </row>
    <row r="24" spans="1:14" x14ac:dyDescent="0.3">
      <c r="A24" t="s">
        <v>96</v>
      </c>
      <c r="B24" s="6">
        <v>28</v>
      </c>
      <c r="C24" s="2">
        <v>35</v>
      </c>
      <c r="D24" s="2">
        <v>35</v>
      </c>
      <c r="E24" t="s">
        <v>120</v>
      </c>
      <c r="F24" s="3">
        <v>2.2999999999999998</v>
      </c>
      <c r="G24" s="3">
        <v>6.1</v>
      </c>
      <c r="H24" s="3">
        <v>13.9</v>
      </c>
      <c r="I24" s="2">
        <v>19000</v>
      </c>
      <c r="J24" s="5">
        <v>2000</v>
      </c>
      <c r="K24" s="8">
        <v>0.61</v>
      </c>
      <c r="L24" s="5">
        <v>2000</v>
      </c>
      <c r="M24" s="8">
        <v>0.81700000000000006</v>
      </c>
      <c r="N24" s="2">
        <v>1</v>
      </c>
    </row>
    <row r="25" spans="1:14" x14ac:dyDescent="0.3">
      <c r="A25" t="s">
        <v>81</v>
      </c>
      <c r="B25" s="6">
        <v>32.75</v>
      </c>
      <c r="C25" s="2">
        <v>27</v>
      </c>
      <c r="D25" s="2">
        <v>27</v>
      </c>
      <c r="E25" t="s">
        <v>120</v>
      </c>
      <c r="F25" s="3">
        <v>2</v>
      </c>
      <c r="G25" s="3">
        <v>10.4</v>
      </c>
      <c r="H25" s="3">
        <v>15.4</v>
      </c>
      <c r="I25" s="2">
        <v>26000</v>
      </c>
      <c r="J25" s="5">
        <v>1300</v>
      </c>
      <c r="K25" s="8">
        <v>0.52</v>
      </c>
      <c r="L25" s="5">
        <v>1200</v>
      </c>
      <c r="M25" s="8">
        <v>0.58200000000000007</v>
      </c>
      <c r="N25" s="2">
        <v>0</v>
      </c>
    </row>
    <row r="26" spans="1:14" x14ac:dyDescent="0.3">
      <c r="A26" t="s">
        <v>72</v>
      </c>
      <c r="B26" s="6">
        <v>33</v>
      </c>
      <c r="C26" s="2">
        <v>24</v>
      </c>
      <c r="D26" s="2">
        <v>24</v>
      </c>
      <c r="E26" t="s">
        <v>120</v>
      </c>
      <c r="F26" s="3">
        <v>1.8</v>
      </c>
      <c r="G26" s="3">
        <v>10.7</v>
      </c>
      <c r="H26" s="3">
        <v>15</v>
      </c>
      <c r="I26" s="2">
        <v>25000</v>
      </c>
      <c r="J26" s="5">
        <v>700</v>
      </c>
      <c r="K26" s="8">
        <v>0.41</v>
      </c>
      <c r="L26" s="5">
        <v>700</v>
      </c>
      <c r="M26" s="8">
        <v>0.42499999999999999</v>
      </c>
      <c r="N26" s="2">
        <v>0</v>
      </c>
    </row>
    <row r="27" spans="1:14" x14ac:dyDescent="0.3">
      <c r="A27" t="s">
        <v>89</v>
      </c>
      <c r="B27" s="6">
        <v>33</v>
      </c>
      <c r="C27" s="2">
        <v>23</v>
      </c>
      <c r="D27" s="2">
        <v>23</v>
      </c>
      <c r="E27" t="s">
        <v>120</v>
      </c>
      <c r="F27" s="3">
        <v>1.9</v>
      </c>
      <c r="G27" s="3">
        <v>10.5</v>
      </c>
      <c r="H27" s="3">
        <v>15.2</v>
      </c>
      <c r="I27" s="2">
        <v>27000</v>
      </c>
      <c r="J27" s="5">
        <v>700</v>
      </c>
      <c r="K27" s="8">
        <v>0.41</v>
      </c>
      <c r="L27" s="5">
        <v>700</v>
      </c>
      <c r="M27" s="8">
        <v>0.42499999999999999</v>
      </c>
      <c r="N27" s="2">
        <v>0</v>
      </c>
    </row>
    <row r="28" spans="1:14" x14ac:dyDescent="0.3">
      <c r="A28" t="s">
        <v>66</v>
      </c>
      <c r="B28" s="6">
        <v>28</v>
      </c>
      <c r="C28" s="2">
        <v>21</v>
      </c>
      <c r="D28" s="2">
        <v>21</v>
      </c>
      <c r="E28" t="s">
        <v>120</v>
      </c>
      <c r="F28" s="3">
        <v>2.2999999999999998</v>
      </c>
      <c r="G28" s="3">
        <v>6</v>
      </c>
      <c r="H28" s="3">
        <v>14</v>
      </c>
      <c r="I28" s="2">
        <v>17500</v>
      </c>
      <c r="J28" s="5">
        <v>1000</v>
      </c>
      <c r="K28" s="8">
        <v>0.41</v>
      </c>
      <c r="L28" s="5">
        <v>1000</v>
      </c>
      <c r="M28" s="8">
        <v>0.58299999999999996</v>
      </c>
      <c r="N28" s="2">
        <v>0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24"/>
  <sheetViews>
    <sheetView workbookViewId="0">
      <selection activeCell="I25" sqref="I25"/>
    </sheetView>
  </sheetViews>
  <sheetFormatPr defaultRowHeight="14.4" x14ac:dyDescent="0.3"/>
  <cols>
    <col min="1" max="1" width="28" customWidth="1"/>
    <col min="2" max="2" width="27" customWidth="1"/>
    <col min="3" max="3" width="11" customWidth="1"/>
    <col min="4" max="4" width="15" customWidth="1"/>
    <col min="5" max="5" width="10" customWidth="1"/>
    <col min="6" max="6" width="4" customWidth="1"/>
    <col min="7" max="7" width="12" customWidth="1"/>
    <col min="8" max="8" width="5" customWidth="1"/>
    <col min="9" max="9" width="12" customWidth="1"/>
    <col min="10" max="10" width="13" customWidth="1"/>
    <col min="11" max="11" width="23" customWidth="1"/>
    <col min="12" max="12" width="13" customWidth="1"/>
    <col min="13" max="13" width="19" customWidth="1"/>
    <col min="14" max="14" width="22" customWidth="1"/>
    <col min="15" max="30" width="0" hidden="1" customWidth="1"/>
  </cols>
  <sheetData>
    <row r="1" spans="1:14" x14ac:dyDescent="0.3">
      <c r="A1" s="1" t="s">
        <v>23</v>
      </c>
    </row>
    <row r="2" spans="1:14" x14ac:dyDescent="0.3">
      <c r="A2" s="1" t="s">
        <v>25</v>
      </c>
    </row>
    <row r="3" spans="1:14" x14ac:dyDescent="0.3">
      <c r="A3" s="1" t="s">
        <v>1</v>
      </c>
      <c r="B3" s="1" t="s">
        <v>26</v>
      </c>
      <c r="C3" s="1" t="s">
        <v>27</v>
      </c>
    </row>
    <row r="4" spans="1:14" x14ac:dyDescent="0.3">
      <c r="A4" t="s">
        <v>34</v>
      </c>
      <c r="B4" t="s">
        <v>44</v>
      </c>
      <c r="C4" s="7">
        <v>0.43</v>
      </c>
    </row>
    <row r="5" spans="1:14" x14ac:dyDescent="0.3">
      <c r="A5" t="s">
        <v>32</v>
      </c>
      <c r="B5" t="s">
        <v>45</v>
      </c>
      <c r="C5" s="7">
        <v>0.28999999999999998</v>
      </c>
    </row>
    <row r="6" spans="1:14" x14ac:dyDescent="0.3">
      <c r="A6" t="s">
        <v>30</v>
      </c>
      <c r="B6" t="s">
        <v>46</v>
      </c>
      <c r="C6" s="7">
        <v>0.19</v>
      </c>
    </row>
    <row r="7" spans="1:14" x14ac:dyDescent="0.3">
      <c r="A7" t="s">
        <v>28</v>
      </c>
      <c r="B7" t="s">
        <v>47</v>
      </c>
      <c r="C7" s="7">
        <v>0.09</v>
      </c>
    </row>
    <row r="9" spans="1:14" x14ac:dyDescent="0.3">
      <c r="A9" s="1" t="s">
        <v>106</v>
      </c>
    </row>
    <row r="10" spans="1:14" x14ac:dyDescent="0.3">
      <c r="A10" t="s">
        <v>107</v>
      </c>
      <c r="B10" s="2">
        <v>1912</v>
      </c>
    </row>
    <row r="11" spans="1:14" x14ac:dyDescent="0.3">
      <c r="A11" t="s">
        <v>108</v>
      </c>
      <c r="B11" s="2">
        <v>1912</v>
      </c>
    </row>
    <row r="12" spans="1:14" x14ac:dyDescent="0.3">
      <c r="A12" t="s">
        <v>109</v>
      </c>
      <c r="B12" s="8">
        <v>9.5000000000000001E-2</v>
      </c>
    </row>
    <row r="13" spans="1:14" x14ac:dyDescent="0.3">
      <c r="A13" t="s">
        <v>110</v>
      </c>
      <c r="B13" s="8">
        <v>0.19800000000000001</v>
      </c>
    </row>
    <row r="15" spans="1:14" x14ac:dyDescent="0.3">
      <c r="A15" s="1" t="s">
        <v>111</v>
      </c>
    </row>
    <row r="16" spans="1:14" x14ac:dyDescent="0.3">
      <c r="A16" s="1" t="s">
        <v>51</v>
      </c>
      <c r="B16" s="1" t="s">
        <v>30</v>
      </c>
      <c r="C16" s="1" t="s">
        <v>112</v>
      </c>
      <c r="D16" s="1" t="s">
        <v>113</v>
      </c>
      <c r="E16" s="1" t="s">
        <v>114</v>
      </c>
      <c r="F16" s="1" t="s">
        <v>28</v>
      </c>
      <c r="G16" s="1" t="s">
        <v>23</v>
      </c>
      <c r="H16" s="1" t="s">
        <v>24</v>
      </c>
      <c r="I16" s="1" t="s">
        <v>34</v>
      </c>
      <c r="J16" s="1" t="s">
        <v>115</v>
      </c>
      <c r="K16" s="1" t="s">
        <v>116</v>
      </c>
      <c r="L16" s="1" t="s">
        <v>117</v>
      </c>
      <c r="M16" s="1" t="s">
        <v>118</v>
      </c>
      <c r="N16" s="1" t="s">
        <v>119</v>
      </c>
    </row>
    <row r="17" spans="1:14" x14ac:dyDescent="0.3">
      <c r="A17" t="s">
        <v>102</v>
      </c>
      <c r="B17" s="6">
        <v>34.25</v>
      </c>
      <c r="C17" s="2">
        <v>485</v>
      </c>
      <c r="D17" s="2">
        <v>485</v>
      </c>
      <c r="E17" t="s">
        <v>120</v>
      </c>
      <c r="F17" s="3">
        <v>1.8</v>
      </c>
      <c r="G17" s="3">
        <v>10.4</v>
      </c>
      <c r="H17" s="3">
        <v>14.7</v>
      </c>
      <c r="I17" s="2">
        <v>27000</v>
      </c>
      <c r="J17" s="5">
        <v>2000</v>
      </c>
      <c r="K17" s="8">
        <v>0.48</v>
      </c>
      <c r="L17" s="5">
        <v>2000</v>
      </c>
      <c r="M17" s="8">
        <v>0.754</v>
      </c>
      <c r="N17" s="2">
        <v>42</v>
      </c>
    </row>
    <row r="18" spans="1:14" x14ac:dyDescent="0.3">
      <c r="A18" t="s">
        <v>81</v>
      </c>
      <c r="B18" s="6">
        <v>32.75</v>
      </c>
      <c r="C18" s="2">
        <v>440</v>
      </c>
      <c r="D18" s="2">
        <v>440</v>
      </c>
      <c r="E18" t="s">
        <v>120</v>
      </c>
      <c r="F18" s="3">
        <v>2</v>
      </c>
      <c r="G18" s="3">
        <v>10.4</v>
      </c>
      <c r="H18" s="3">
        <v>15.4</v>
      </c>
      <c r="I18" s="2">
        <v>26000</v>
      </c>
      <c r="J18" s="5">
        <v>1300</v>
      </c>
      <c r="K18" s="8">
        <v>0.37</v>
      </c>
      <c r="L18" s="5">
        <v>1200</v>
      </c>
      <c r="M18" s="8">
        <v>0.58200000000000007</v>
      </c>
      <c r="N18" s="2">
        <v>31</v>
      </c>
    </row>
    <row r="19" spans="1:14" x14ac:dyDescent="0.3">
      <c r="A19" t="s">
        <v>89</v>
      </c>
      <c r="B19" s="6">
        <v>33</v>
      </c>
      <c r="C19" s="2">
        <v>360</v>
      </c>
      <c r="D19" s="2">
        <v>360</v>
      </c>
      <c r="E19" t="s">
        <v>120</v>
      </c>
      <c r="F19" s="3">
        <v>1.9</v>
      </c>
      <c r="G19" s="3">
        <v>10.5</v>
      </c>
      <c r="H19" s="3">
        <v>15.2</v>
      </c>
      <c r="I19" s="2">
        <v>27000</v>
      </c>
      <c r="J19" s="5">
        <v>700</v>
      </c>
      <c r="K19" s="8">
        <v>0.28999999999999998</v>
      </c>
      <c r="L19" s="5">
        <v>700</v>
      </c>
      <c r="M19" s="8">
        <v>0.42499999999999999</v>
      </c>
      <c r="N19" s="2">
        <v>30</v>
      </c>
    </row>
    <row r="20" spans="1:14" x14ac:dyDescent="0.3">
      <c r="A20" t="s">
        <v>72</v>
      </c>
      <c r="B20" s="6">
        <v>33</v>
      </c>
      <c r="C20" s="2">
        <v>313</v>
      </c>
      <c r="D20" s="2">
        <v>313</v>
      </c>
      <c r="E20" t="s">
        <v>120</v>
      </c>
      <c r="F20" s="3">
        <v>1.8</v>
      </c>
      <c r="G20" s="3">
        <v>10.7</v>
      </c>
      <c r="H20" s="3">
        <v>15</v>
      </c>
      <c r="I20" s="2">
        <v>25000</v>
      </c>
      <c r="J20" s="5">
        <v>700</v>
      </c>
      <c r="K20" s="8">
        <v>0.28999999999999998</v>
      </c>
      <c r="L20" s="5">
        <v>700</v>
      </c>
      <c r="M20" s="8">
        <v>0.42499999999999999</v>
      </c>
      <c r="N20" s="2">
        <v>20</v>
      </c>
    </row>
    <row r="21" spans="1:14" x14ac:dyDescent="0.3">
      <c r="A21" t="s">
        <v>59</v>
      </c>
      <c r="B21" s="6">
        <v>33</v>
      </c>
      <c r="C21" s="2">
        <v>303</v>
      </c>
      <c r="D21" s="2">
        <v>303</v>
      </c>
      <c r="E21" t="s">
        <v>120</v>
      </c>
      <c r="F21" s="3">
        <v>2</v>
      </c>
      <c r="G21" s="3">
        <v>8.4</v>
      </c>
      <c r="H21" s="3">
        <v>15.5</v>
      </c>
      <c r="I21" s="2">
        <v>25600</v>
      </c>
      <c r="J21" s="5">
        <v>700</v>
      </c>
      <c r="K21" s="8">
        <v>0.28999999999999998</v>
      </c>
      <c r="L21" s="5">
        <v>700</v>
      </c>
      <c r="M21" s="8">
        <v>0.42499999999999999</v>
      </c>
      <c r="N21" s="2">
        <v>15</v>
      </c>
    </row>
    <row r="22" spans="1:14" x14ac:dyDescent="0.3">
      <c r="A22" t="s">
        <v>53</v>
      </c>
      <c r="B22" s="6">
        <v>28</v>
      </c>
      <c r="C22" s="2">
        <v>4</v>
      </c>
      <c r="D22" s="2">
        <v>4</v>
      </c>
      <c r="E22" t="s">
        <v>120</v>
      </c>
      <c r="F22" s="3">
        <v>2.4</v>
      </c>
      <c r="G22" s="3">
        <v>5.9</v>
      </c>
      <c r="H22" s="3">
        <v>14.5</v>
      </c>
      <c r="I22" s="2">
        <v>17950</v>
      </c>
      <c r="J22" s="5">
        <v>1000</v>
      </c>
      <c r="K22" s="8">
        <v>0.28999999999999998</v>
      </c>
      <c r="L22" s="5">
        <v>1000</v>
      </c>
      <c r="M22" s="8">
        <v>0.58299999999999996</v>
      </c>
      <c r="N22" s="2">
        <v>0</v>
      </c>
    </row>
    <row r="23" spans="1:14" x14ac:dyDescent="0.3">
      <c r="A23" t="s">
        <v>96</v>
      </c>
      <c r="B23" s="6">
        <v>28</v>
      </c>
      <c r="C23" s="2">
        <v>4</v>
      </c>
      <c r="D23" s="2">
        <v>4</v>
      </c>
      <c r="E23" t="s">
        <v>120</v>
      </c>
      <c r="F23" s="3">
        <v>2.2999999999999998</v>
      </c>
      <c r="G23" s="3">
        <v>6.1</v>
      </c>
      <c r="H23" s="3">
        <v>13.9</v>
      </c>
      <c r="I23" s="2">
        <v>19000</v>
      </c>
      <c r="J23" s="5">
        <v>2000</v>
      </c>
      <c r="K23" s="8">
        <v>0.48</v>
      </c>
      <c r="L23" s="5">
        <v>2000</v>
      </c>
      <c r="M23" s="8">
        <v>0.81700000000000006</v>
      </c>
      <c r="N23" s="2">
        <v>0</v>
      </c>
    </row>
    <row r="24" spans="1:14" x14ac:dyDescent="0.3">
      <c r="A24" t="s">
        <v>66</v>
      </c>
      <c r="B24" s="6">
        <v>28</v>
      </c>
      <c r="C24" s="2">
        <v>1</v>
      </c>
      <c r="D24" s="2">
        <v>1</v>
      </c>
      <c r="E24" t="s">
        <v>120</v>
      </c>
      <c r="F24" s="3">
        <v>2.2999999999999998</v>
      </c>
      <c r="G24" s="3">
        <v>6</v>
      </c>
      <c r="H24" s="3">
        <v>14</v>
      </c>
      <c r="I24" s="2">
        <v>17500</v>
      </c>
      <c r="J24" s="5">
        <v>1000</v>
      </c>
      <c r="K24" s="8">
        <v>0.28999999999999998</v>
      </c>
      <c r="L24" s="5">
        <v>1000</v>
      </c>
      <c r="M24" s="8">
        <v>0.58299999999999996</v>
      </c>
      <c r="N24" s="2">
        <v>0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26"/>
  <sheetViews>
    <sheetView workbookViewId="0">
      <selection activeCell="K19" sqref="K19"/>
    </sheetView>
  </sheetViews>
  <sheetFormatPr defaultRowHeight="14.4" x14ac:dyDescent="0.3"/>
  <cols>
    <col min="1" max="1" width="28" customWidth="1"/>
    <col min="2" max="2" width="25" customWidth="1"/>
    <col min="3" max="3" width="11" customWidth="1"/>
    <col min="4" max="4" width="15" customWidth="1"/>
    <col min="5" max="5" width="10" customWidth="1"/>
    <col min="6" max="6" width="4" customWidth="1"/>
    <col min="7" max="7" width="12" customWidth="1"/>
    <col min="8" max="8" width="5" customWidth="1"/>
    <col min="9" max="9" width="12" customWidth="1"/>
    <col min="10" max="10" width="13" customWidth="1"/>
    <col min="11" max="11" width="23" customWidth="1"/>
    <col min="12" max="12" width="13" customWidth="1"/>
    <col min="13" max="13" width="19" customWidth="1"/>
    <col min="14" max="14" width="22" customWidth="1"/>
    <col min="15" max="30" width="0" hidden="1" customWidth="1"/>
  </cols>
  <sheetData>
    <row r="1" spans="1:14" x14ac:dyDescent="0.3">
      <c r="A1" s="1" t="s">
        <v>24</v>
      </c>
    </row>
    <row r="2" spans="1:14" x14ac:dyDescent="0.3">
      <c r="A2" s="1" t="s">
        <v>25</v>
      </c>
    </row>
    <row r="3" spans="1:14" x14ac:dyDescent="0.3">
      <c r="A3" s="1" t="s">
        <v>1</v>
      </c>
      <c r="B3" s="1" t="s">
        <v>26</v>
      </c>
      <c r="C3" s="1" t="s">
        <v>27</v>
      </c>
    </row>
    <row r="4" spans="1:14" x14ac:dyDescent="0.3">
      <c r="A4" t="s">
        <v>32</v>
      </c>
      <c r="B4" t="s">
        <v>48</v>
      </c>
      <c r="C4" s="7">
        <v>0.43</v>
      </c>
    </row>
    <row r="5" spans="1:14" x14ac:dyDescent="0.3">
      <c r="A5" t="s">
        <v>28</v>
      </c>
      <c r="B5" t="s">
        <v>47</v>
      </c>
      <c r="C5" s="7">
        <v>0.28999999999999998</v>
      </c>
    </row>
    <row r="6" spans="1:14" x14ac:dyDescent="0.3">
      <c r="A6" t="s">
        <v>34</v>
      </c>
      <c r="B6" t="s">
        <v>49</v>
      </c>
      <c r="C6" s="7">
        <v>0.19</v>
      </c>
    </row>
    <row r="7" spans="1:14" x14ac:dyDescent="0.3">
      <c r="A7" t="s">
        <v>30</v>
      </c>
      <c r="B7" t="s">
        <v>46</v>
      </c>
      <c r="C7" s="7">
        <v>0.09</v>
      </c>
    </row>
    <row r="9" spans="1:14" x14ac:dyDescent="0.3">
      <c r="A9" s="1" t="s">
        <v>106</v>
      </c>
    </row>
    <row r="10" spans="1:14" x14ac:dyDescent="0.3">
      <c r="A10" t="s">
        <v>107</v>
      </c>
      <c r="B10" s="2">
        <v>1955</v>
      </c>
    </row>
    <row r="11" spans="1:14" x14ac:dyDescent="0.3">
      <c r="A11" t="s">
        <v>108</v>
      </c>
      <c r="B11" s="2">
        <v>1955</v>
      </c>
    </row>
    <row r="12" spans="1:14" x14ac:dyDescent="0.3">
      <c r="A12" t="s">
        <v>109</v>
      </c>
      <c r="B12" s="8">
        <v>9.6000000000000002E-2</v>
      </c>
    </row>
    <row r="13" spans="1:14" x14ac:dyDescent="0.3">
      <c r="A13" t="s">
        <v>110</v>
      </c>
      <c r="B13" s="8">
        <v>0.183</v>
      </c>
    </row>
    <row r="15" spans="1:14" x14ac:dyDescent="0.3">
      <c r="A15" s="1" t="s">
        <v>111</v>
      </c>
    </row>
    <row r="16" spans="1:14" x14ac:dyDescent="0.3">
      <c r="A16" s="1" t="s">
        <v>51</v>
      </c>
      <c r="B16" s="1" t="s">
        <v>30</v>
      </c>
      <c r="C16" s="1" t="s">
        <v>112</v>
      </c>
      <c r="D16" s="1" t="s">
        <v>113</v>
      </c>
      <c r="E16" s="1" t="s">
        <v>114</v>
      </c>
      <c r="F16" s="1" t="s">
        <v>28</v>
      </c>
      <c r="G16" s="1" t="s">
        <v>23</v>
      </c>
      <c r="H16" s="1" t="s">
        <v>24</v>
      </c>
      <c r="I16" s="1" t="s">
        <v>34</v>
      </c>
      <c r="J16" s="1" t="s">
        <v>115</v>
      </c>
      <c r="K16" s="1" t="s">
        <v>116</v>
      </c>
      <c r="L16" s="1" t="s">
        <v>117</v>
      </c>
      <c r="M16" s="1" t="s">
        <v>118</v>
      </c>
      <c r="N16" s="1" t="s">
        <v>119</v>
      </c>
    </row>
    <row r="17" spans="1:14" x14ac:dyDescent="0.3">
      <c r="A17" t="s">
        <v>104</v>
      </c>
      <c r="B17" s="6">
        <v>34.5</v>
      </c>
      <c r="C17" s="2">
        <v>524</v>
      </c>
      <c r="D17" s="2">
        <v>510</v>
      </c>
      <c r="E17" t="s">
        <v>120</v>
      </c>
      <c r="F17" s="3">
        <v>1.9</v>
      </c>
      <c r="G17" s="3">
        <v>4.7</v>
      </c>
      <c r="H17" s="3">
        <v>9.9</v>
      </c>
      <c r="I17" s="2">
        <v>20000</v>
      </c>
      <c r="J17" s="5">
        <v>2000</v>
      </c>
      <c r="K17" s="8">
        <v>0.55000000000000004</v>
      </c>
      <c r="L17" s="5">
        <v>2000</v>
      </c>
      <c r="M17" s="8">
        <v>0.754</v>
      </c>
      <c r="N17" s="2">
        <v>50</v>
      </c>
    </row>
    <row r="18" spans="1:14" x14ac:dyDescent="0.3">
      <c r="A18" t="s">
        <v>74</v>
      </c>
      <c r="B18" s="6">
        <v>33</v>
      </c>
      <c r="C18" s="2">
        <v>431</v>
      </c>
      <c r="D18" s="2">
        <v>465</v>
      </c>
      <c r="E18" t="s">
        <v>120</v>
      </c>
      <c r="F18" s="3">
        <v>2.1</v>
      </c>
      <c r="G18" s="3">
        <v>4.3</v>
      </c>
      <c r="H18" s="3">
        <v>10.199999999999999</v>
      </c>
      <c r="I18" s="2">
        <v>19000</v>
      </c>
      <c r="J18" s="5">
        <v>700</v>
      </c>
      <c r="K18" s="8">
        <v>0.34</v>
      </c>
      <c r="L18" s="5">
        <v>700</v>
      </c>
      <c r="M18" s="8">
        <v>0.42499999999999999</v>
      </c>
      <c r="N18" s="2">
        <v>25</v>
      </c>
    </row>
    <row r="19" spans="1:14" x14ac:dyDescent="0.3">
      <c r="A19" t="s">
        <v>83</v>
      </c>
      <c r="B19" s="6">
        <v>32</v>
      </c>
      <c r="C19" s="2">
        <v>316</v>
      </c>
      <c r="D19" s="2">
        <v>311</v>
      </c>
      <c r="E19" t="s">
        <v>120</v>
      </c>
      <c r="F19" s="3">
        <v>1.8</v>
      </c>
      <c r="G19" s="3">
        <v>4.7</v>
      </c>
      <c r="H19" s="3">
        <v>9.6</v>
      </c>
      <c r="I19" s="2">
        <v>19000</v>
      </c>
      <c r="J19" s="5">
        <v>1000</v>
      </c>
      <c r="K19" s="8">
        <v>0.4</v>
      </c>
      <c r="L19" s="5">
        <v>950</v>
      </c>
      <c r="M19" s="8">
        <v>0.503</v>
      </c>
      <c r="N19" s="2">
        <v>38</v>
      </c>
    </row>
    <row r="20" spans="1:14" x14ac:dyDescent="0.3">
      <c r="A20" t="s">
        <v>61</v>
      </c>
      <c r="B20" s="6">
        <v>33</v>
      </c>
      <c r="C20" s="2">
        <v>288</v>
      </c>
      <c r="D20" s="2">
        <v>281</v>
      </c>
      <c r="E20" t="s">
        <v>120</v>
      </c>
      <c r="F20" s="3">
        <v>2</v>
      </c>
      <c r="G20" s="3">
        <v>3.1</v>
      </c>
      <c r="H20" s="3">
        <v>11.2</v>
      </c>
      <c r="I20" s="2">
        <v>19550</v>
      </c>
      <c r="J20" s="5">
        <v>700</v>
      </c>
      <c r="K20" s="8">
        <v>0.34</v>
      </c>
      <c r="L20" s="5">
        <v>700</v>
      </c>
      <c r="M20" s="8">
        <v>0.42499999999999999</v>
      </c>
      <c r="N20" s="2">
        <v>11</v>
      </c>
    </row>
    <row r="21" spans="1:14" x14ac:dyDescent="0.3">
      <c r="A21" t="s">
        <v>93</v>
      </c>
      <c r="B21" s="6">
        <v>33</v>
      </c>
      <c r="C21" s="2">
        <v>271</v>
      </c>
      <c r="D21" s="2">
        <v>266</v>
      </c>
      <c r="E21" t="s">
        <v>120</v>
      </c>
      <c r="F21" s="3">
        <v>1.8</v>
      </c>
      <c r="G21" s="3">
        <v>4.8</v>
      </c>
      <c r="H21" s="3">
        <v>9.6</v>
      </c>
      <c r="I21" s="2">
        <v>20000</v>
      </c>
      <c r="J21" s="5">
        <v>700</v>
      </c>
      <c r="K21" s="8">
        <v>0.34</v>
      </c>
      <c r="L21" s="5">
        <v>700</v>
      </c>
      <c r="M21" s="8">
        <v>0.42499999999999999</v>
      </c>
      <c r="N21" s="2">
        <v>35</v>
      </c>
    </row>
    <row r="22" spans="1:14" x14ac:dyDescent="0.3">
      <c r="A22" t="s">
        <v>96</v>
      </c>
      <c r="B22" s="6">
        <v>28</v>
      </c>
      <c r="C22" s="2">
        <v>43</v>
      </c>
      <c r="D22" s="2">
        <v>42</v>
      </c>
      <c r="E22" t="s">
        <v>120</v>
      </c>
      <c r="F22" s="3">
        <v>2.2999999999999998</v>
      </c>
      <c r="G22" s="3">
        <v>6.1</v>
      </c>
      <c r="H22" s="3">
        <v>13.9</v>
      </c>
      <c r="I22" s="2">
        <v>19000</v>
      </c>
      <c r="J22" s="5">
        <v>2000</v>
      </c>
      <c r="K22" s="8">
        <v>0.55000000000000004</v>
      </c>
      <c r="L22" s="5">
        <v>2000</v>
      </c>
      <c r="M22" s="8">
        <v>0.81700000000000006</v>
      </c>
      <c r="N22" s="2">
        <v>2</v>
      </c>
    </row>
    <row r="23" spans="1:14" x14ac:dyDescent="0.3">
      <c r="A23" t="s">
        <v>66</v>
      </c>
      <c r="B23" s="6">
        <v>28</v>
      </c>
      <c r="C23" s="2">
        <v>32</v>
      </c>
      <c r="D23" s="2">
        <v>31</v>
      </c>
      <c r="E23" t="s">
        <v>120</v>
      </c>
      <c r="F23" s="3">
        <v>2.2999999999999998</v>
      </c>
      <c r="G23" s="3">
        <v>6</v>
      </c>
      <c r="H23" s="3">
        <v>14</v>
      </c>
      <c r="I23" s="2">
        <v>17500</v>
      </c>
      <c r="J23" s="5">
        <v>1000</v>
      </c>
      <c r="K23" s="8">
        <v>0.34</v>
      </c>
      <c r="L23" s="5">
        <v>1000</v>
      </c>
      <c r="M23" s="8">
        <v>0.58299999999999996</v>
      </c>
      <c r="N23" s="2">
        <v>1</v>
      </c>
    </row>
    <row r="24" spans="1:14" x14ac:dyDescent="0.3">
      <c r="A24" t="s">
        <v>76</v>
      </c>
      <c r="B24" s="6">
        <v>26.75</v>
      </c>
      <c r="C24" s="2">
        <v>25</v>
      </c>
      <c r="D24" s="2">
        <v>25</v>
      </c>
      <c r="E24" t="s">
        <v>120</v>
      </c>
      <c r="F24" s="3">
        <v>2.4</v>
      </c>
      <c r="G24" s="3">
        <v>5.7</v>
      </c>
      <c r="H24" s="3">
        <v>14.3</v>
      </c>
      <c r="I24" s="2">
        <v>15000</v>
      </c>
      <c r="J24" s="5">
        <v>1500</v>
      </c>
      <c r="K24" s="8">
        <v>0.4</v>
      </c>
      <c r="L24" s="5">
        <v>1200</v>
      </c>
      <c r="M24" s="8">
        <v>0.64599999999999991</v>
      </c>
      <c r="N24" s="2">
        <v>1</v>
      </c>
    </row>
    <row r="25" spans="1:14" x14ac:dyDescent="0.3">
      <c r="A25" t="s">
        <v>85</v>
      </c>
      <c r="B25" s="6">
        <v>28</v>
      </c>
      <c r="C25" s="2">
        <v>17</v>
      </c>
      <c r="D25" s="2">
        <v>17</v>
      </c>
      <c r="E25" t="s">
        <v>120</v>
      </c>
      <c r="F25" s="3">
        <v>2.2999999999999998</v>
      </c>
      <c r="G25" s="3">
        <v>5.8</v>
      </c>
      <c r="H25" s="3">
        <v>14.2</v>
      </c>
      <c r="I25" s="2">
        <v>14000</v>
      </c>
      <c r="J25" s="5">
        <v>1000</v>
      </c>
      <c r="K25" s="8">
        <v>0.34</v>
      </c>
      <c r="L25" s="5">
        <v>1000</v>
      </c>
      <c r="M25" s="8">
        <v>0.58299999999999996</v>
      </c>
      <c r="N25" s="2">
        <v>0</v>
      </c>
    </row>
    <row r="26" spans="1:14" x14ac:dyDescent="0.3">
      <c r="A26" t="s">
        <v>53</v>
      </c>
      <c r="B26" s="6">
        <v>28</v>
      </c>
      <c r="C26" s="2">
        <v>8</v>
      </c>
      <c r="D26" s="2">
        <v>8</v>
      </c>
      <c r="E26" t="s">
        <v>120</v>
      </c>
      <c r="F26" s="3">
        <v>2.4</v>
      </c>
      <c r="G26" s="3">
        <v>5.9</v>
      </c>
      <c r="H26" s="3">
        <v>14.5</v>
      </c>
      <c r="I26" s="2">
        <v>17950</v>
      </c>
      <c r="J26" s="5">
        <v>1000</v>
      </c>
      <c r="K26" s="8">
        <v>0.34</v>
      </c>
      <c r="L26" s="5">
        <v>1000</v>
      </c>
      <c r="M26" s="8">
        <v>0.58299999999999996</v>
      </c>
      <c r="N26" s="2">
        <v>0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Q29"/>
  <sheetViews>
    <sheetView tabSelected="1" topLeftCell="B1" workbookViewId="0">
      <selection activeCell="M9" sqref="M9"/>
    </sheetView>
  </sheetViews>
  <sheetFormatPr defaultRowHeight="14.4" x14ac:dyDescent="0.3"/>
  <cols>
    <col min="1" max="1" width="18" customWidth="1"/>
    <col min="2" max="2" width="16" customWidth="1"/>
    <col min="3" max="3" width="11" customWidth="1"/>
    <col min="4" max="4" width="10" customWidth="1"/>
    <col min="5" max="5" width="14" customWidth="1"/>
    <col min="6" max="6" width="11" customWidth="1"/>
    <col min="7" max="7" width="8" customWidth="1"/>
    <col min="8" max="8" width="11" customWidth="1"/>
    <col min="9" max="9" width="5" customWidth="1"/>
    <col min="10" max="10" width="6" customWidth="1"/>
    <col min="11" max="11" width="14" customWidth="1"/>
    <col min="12" max="12" width="11" customWidth="1"/>
    <col min="13" max="13" width="20" customWidth="1"/>
    <col min="14" max="14" width="22" customWidth="1"/>
    <col min="15" max="15" width="17" customWidth="1"/>
    <col min="16" max="17" width="20" customWidth="1"/>
    <col min="18" max="30" width="0" hidden="1" customWidth="1"/>
  </cols>
  <sheetData>
    <row r="1" spans="1:17" x14ac:dyDescent="0.3">
      <c r="A1" s="1" t="s">
        <v>122</v>
      </c>
    </row>
    <row r="2" spans="1:17" x14ac:dyDescent="0.3">
      <c r="A2" s="1" t="s">
        <v>51</v>
      </c>
      <c r="B2" s="1" t="s">
        <v>123</v>
      </c>
      <c r="C2" s="1" t="s">
        <v>112</v>
      </c>
      <c r="D2" s="1" t="s">
        <v>124</v>
      </c>
      <c r="E2" s="1" t="s">
        <v>52</v>
      </c>
      <c r="F2" s="1" t="s">
        <v>125</v>
      </c>
      <c r="G2" s="1" t="s">
        <v>126</v>
      </c>
      <c r="H2" s="1" t="s">
        <v>127</v>
      </c>
      <c r="I2" s="1" t="s">
        <v>24</v>
      </c>
      <c r="J2" s="1" t="s">
        <v>30</v>
      </c>
      <c r="K2" s="1" t="s">
        <v>128</v>
      </c>
      <c r="L2" s="1" t="s">
        <v>129</v>
      </c>
      <c r="M2" s="1" t="s">
        <v>18</v>
      </c>
      <c r="N2" s="1" t="s">
        <v>130</v>
      </c>
      <c r="O2" s="1" t="s">
        <v>131</v>
      </c>
      <c r="P2" s="1" t="s">
        <v>132</v>
      </c>
      <c r="Q2" s="1" t="s">
        <v>133</v>
      </c>
    </row>
    <row r="3" spans="1:17" x14ac:dyDescent="0.3">
      <c r="A3" t="s">
        <v>53</v>
      </c>
      <c r="B3" t="s">
        <v>20</v>
      </c>
      <c r="C3" s="2">
        <v>1312</v>
      </c>
      <c r="D3" s="2">
        <v>65</v>
      </c>
      <c r="E3" t="s">
        <v>54</v>
      </c>
      <c r="F3" s="4">
        <v>2.4</v>
      </c>
      <c r="G3" s="2">
        <v>17950</v>
      </c>
      <c r="H3" s="4">
        <v>5.9</v>
      </c>
      <c r="I3" s="4">
        <v>14.5</v>
      </c>
      <c r="J3" s="6">
        <v>28</v>
      </c>
      <c r="K3" s="6">
        <v>10.99</v>
      </c>
      <c r="L3" s="6">
        <v>7.85</v>
      </c>
      <c r="M3" s="9">
        <v>0.312</v>
      </c>
      <c r="N3" s="9">
        <v>0</v>
      </c>
      <c r="O3" s="2">
        <v>4</v>
      </c>
      <c r="P3" s="2">
        <v>1800</v>
      </c>
      <c r="Q3" s="7">
        <v>0.66666666666666663</v>
      </c>
    </row>
    <row r="4" spans="1:17" x14ac:dyDescent="0.3">
      <c r="A4" t="s">
        <v>55</v>
      </c>
      <c r="B4" t="s">
        <v>21</v>
      </c>
      <c r="C4" s="2">
        <v>1409</v>
      </c>
      <c r="D4" s="2">
        <v>432</v>
      </c>
      <c r="E4" t="s">
        <v>56</v>
      </c>
      <c r="F4" s="4">
        <v>3</v>
      </c>
      <c r="G4" s="2">
        <v>14550</v>
      </c>
      <c r="H4" s="4">
        <v>2.4</v>
      </c>
      <c r="I4" s="4">
        <v>17.600000000000001</v>
      </c>
      <c r="J4" s="6">
        <v>21</v>
      </c>
      <c r="K4" s="6">
        <v>6.61</v>
      </c>
      <c r="L4" s="6">
        <v>7.46</v>
      </c>
      <c r="M4" s="9">
        <v>0.27899999999999997</v>
      </c>
      <c r="N4" s="9">
        <v>0.3</v>
      </c>
      <c r="O4" s="2">
        <v>5</v>
      </c>
      <c r="P4" s="2">
        <v>1400</v>
      </c>
      <c r="Q4" s="7">
        <v>1.3</v>
      </c>
    </row>
    <row r="5" spans="1:17" x14ac:dyDescent="0.3">
      <c r="A5" t="s">
        <v>57</v>
      </c>
      <c r="B5" t="s">
        <v>22</v>
      </c>
      <c r="C5" s="2">
        <v>415</v>
      </c>
      <c r="D5" s="2">
        <v>32</v>
      </c>
      <c r="E5" t="s">
        <v>58</v>
      </c>
      <c r="F5" s="4">
        <v>1.5</v>
      </c>
      <c r="G5" s="2">
        <v>23000</v>
      </c>
      <c r="H5" s="4">
        <v>8.8000000000000007</v>
      </c>
      <c r="I5" s="4">
        <v>11.1</v>
      </c>
      <c r="J5" s="6">
        <v>38</v>
      </c>
      <c r="K5" s="6">
        <v>15.71</v>
      </c>
      <c r="L5" s="6">
        <v>8.9700000000000006</v>
      </c>
      <c r="M5" s="9">
        <v>0.34799999999999998</v>
      </c>
      <c r="N5" s="9">
        <v>0</v>
      </c>
      <c r="O5" s="2">
        <v>3</v>
      </c>
      <c r="P5" s="2">
        <v>900</v>
      </c>
      <c r="Q5" s="7">
        <v>0.45555555555555555</v>
      </c>
    </row>
    <row r="6" spans="1:17" x14ac:dyDescent="0.3">
      <c r="A6" t="s">
        <v>59</v>
      </c>
      <c r="B6" t="s">
        <v>23</v>
      </c>
      <c r="C6" s="2">
        <v>395</v>
      </c>
      <c r="D6" s="2">
        <v>118</v>
      </c>
      <c r="E6" t="s">
        <v>60</v>
      </c>
      <c r="F6" s="4">
        <v>2</v>
      </c>
      <c r="G6" s="2">
        <v>25600</v>
      </c>
      <c r="H6" s="4">
        <v>8.4</v>
      </c>
      <c r="I6" s="4">
        <v>15.5</v>
      </c>
      <c r="J6" s="6">
        <v>33</v>
      </c>
      <c r="K6" s="6">
        <v>14.35</v>
      </c>
      <c r="L6" s="6">
        <v>8.9700000000000006</v>
      </c>
      <c r="M6" s="9">
        <v>0.24399999999999999</v>
      </c>
      <c r="N6" s="9">
        <v>0</v>
      </c>
      <c r="O6" s="2">
        <v>3</v>
      </c>
      <c r="P6" s="2">
        <v>600</v>
      </c>
      <c r="Q6" s="7">
        <v>0.73333333333333328</v>
      </c>
    </row>
    <row r="7" spans="1:17" x14ac:dyDescent="0.3">
      <c r="A7" t="s">
        <v>61</v>
      </c>
      <c r="B7" t="s">
        <v>24</v>
      </c>
      <c r="C7" s="2">
        <v>290</v>
      </c>
      <c r="D7" s="2">
        <v>149</v>
      </c>
      <c r="E7" t="s">
        <v>62</v>
      </c>
      <c r="F7" s="4">
        <v>2</v>
      </c>
      <c r="G7" s="2">
        <v>19550</v>
      </c>
      <c r="H7" s="4">
        <v>3.1</v>
      </c>
      <c r="I7" s="4">
        <v>11.2</v>
      </c>
      <c r="J7" s="6">
        <v>33</v>
      </c>
      <c r="K7" s="6">
        <v>12.4</v>
      </c>
      <c r="L7" s="6">
        <v>8.9700000000000006</v>
      </c>
      <c r="M7" s="9">
        <v>0.29399999999999998</v>
      </c>
      <c r="N7" s="9">
        <v>0</v>
      </c>
      <c r="O7" s="2">
        <v>3</v>
      </c>
      <c r="P7" s="2">
        <v>600</v>
      </c>
      <c r="Q7" s="7">
        <v>0.6333333333333333</v>
      </c>
    </row>
    <row r="8" spans="1:17" x14ac:dyDescent="0.3">
      <c r="A8" t="s">
        <v>63</v>
      </c>
      <c r="B8" t="s">
        <v>1</v>
      </c>
      <c r="C8" s="2">
        <v>0</v>
      </c>
      <c r="D8" s="2">
        <v>0</v>
      </c>
      <c r="E8" t="s">
        <v>65</v>
      </c>
      <c r="F8" s="4">
        <v>0</v>
      </c>
      <c r="G8" t="s">
        <v>64</v>
      </c>
      <c r="H8" t="s">
        <v>64</v>
      </c>
      <c r="I8" t="s">
        <v>64</v>
      </c>
      <c r="J8" s="6">
        <v>0</v>
      </c>
      <c r="K8" s="6">
        <v>0</v>
      </c>
      <c r="L8" s="6">
        <v>0</v>
      </c>
      <c r="M8" s="9">
        <v>0</v>
      </c>
      <c r="N8" s="9">
        <v>0</v>
      </c>
      <c r="O8" s="2">
        <v>0</v>
      </c>
      <c r="P8" s="2">
        <v>0</v>
      </c>
      <c r="Q8" s="7">
        <v>0</v>
      </c>
    </row>
    <row r="9" spans="1:17" x14ac:dyDescent="0.3">
      <c r="A9" t="s">
        <v>66</v>
      </c>
      <c r="B9" t="s">
        <v>20</v>
      </c>
      <c r="C9" s="2">
        <v>1200</v>
      </c>
      <c r="D9" s="2">
        <v>177</v>
      </c>
      <c r="E9" t="s">
        <v>67</v>
      </c>
      <c r="F9" s="4">
        <v>2.2999999999999998</v>
      </c>
      <c r="G9" s="2">
        <v>17500</v>
      </c>
      <c r="H9" s="4">
        <v>6</v>
      </c>
      <c r="I9" s="4">
        <v>14</v>
      </c>
      <c r="J9" s="6">
        <v>28</v>
      </c>
      <c r="K9" s="6">
        <v>11.16</v>
      </c>
      <c r="L9" s="6">
        <v>7.85</v>
      </c>
      <c r="M9" s="9">
        <v>0.30099999999999999</v>
      </c>
      <c r="N9" s="9">
        <v>0</v>
      </c>
      <c r="O9" s="2">
        <v>4</v>
      </c>
      <c r="P9" s="2">
        <v>1800</v>
      </c>
      <c r="Q9" s="7">
        <v>0.66666666666666663</v>
      </c>
    </row>
    <row r="10" spans="1:17" x14ac:dyDescent="0.3">
      <c r="A10" t="s">
        <v>68</v>
      </c>
      <c r="B10" t="s">
        <v>21</v>
      </c>
      <c r="C10" s="2">
        <v>1632</v>
      </c>
      <c r="D10" s="2">
        <v>209</v>
      </c>
      <c r="E10" t="s">
        <v>69</v>
      </c>
      <c r="F10" s="4">
        <v>3</v>
      </c>
      <c r="G10" s="2">
        <v>14000</v>
      </c>
      <c r="H10" s="4">
        <v>2.5</v>
      </c>
      <c r="I10" s="4">
        <v>17.899999999999999</v>
      </c>
      <c r="J10" s="6">
        <v>20.25</v>
      </c>
      <c r="K10" s="6">
        <v>6.35</v>
      </c>
      <c r="L10" s="6">
        <v>7.46</v>
      </c>
      <c r="M10" s="9">
        <v>0.27200000000000002</v>
      </c>
      <c r="N10" s="9">
        <v>0.3</v>
      </c>
      <c r="O10" s="2">
        <v>5</v>
      </c>
      <c r="P10" s="2">
        <v>1400</v>
      </c>
      <c r="Q10" s="7">
        <v>1.3</v>
      </c>
    </row>
    <row r="11" spans="1:17" x14ac:dyDescent="0.3">
      <c r="A11" t="s">
        <v>70</v>
      </c>
      <c r="B11" t="s">
        <v>22</v>
      </c>
      <c r="C11" s="2">
        <v>419</v>
      </c>
      <c r="D11" s="2">
        <v>27</v>
      </c>
      <c r="E11" t="s">
        <v>71</v>
      </c>
      <c r="F11" s="4">
        <v>1.5</v>
      </c>
      <c r="G11" s="2">
        <v>23000</v>
      </c>
      <c r="H11" s="4">
        <v>8.8000000000000007</v>
      </c>
      <c r="I11" s="4">
        <v>11</v>
      </c>
      <c r="J11" s="6">
        <v>38</v>
      </c>
      <c r="K11" s="6">
        <v>15.76</v>
      </c>
      <c r="L11" s="6">
        <v>8.9700000000000006</v>
      </c>
      <c r="M11" s="9">
        <v>0.34899999999999998</v>
      </c>
      <c r="N11" s="9">
        <v>0</v>
      </c>
      <c r="O11" s="2">
        <v>3</v>
      </c>
      <c r="P11" s="2">
        <v>900</v>
      </c>
      <c r="Q11" s="7">
        <v>0.45555555555555555</v>
      </c>
    </row>
    <row r="12" spans="1:17" x14ac:dyDescent="0.3">
      <c r="A12" t="s">
        <v>72</v>
      </c>
      <c r="B12" t="s">
        <v>23</v>
      </c>
      <c r="C12" s="2">
        <v>337</v>
      </c>
      <c r="D12" s="2">
        <v>176</v>
      </c>
      <c r="E12" t="s">
        <v>73</v>
      </c>
      <c r="F12" s="4">
        <v>1.8</v>
      </c>
      <c r="G12" s="2">
        <v>25000</v>
      </c>
      <c r="H12" s="4">
        <v>10.7</v>
      </c>
      <c r="I12" s="4">
        <v>15</v>
      </c>
      <c r="J12" s="6">
        <v>33</v>
      </c>
      <c r="K12" s="6">
        <v>15.81</v>
      </c>
      <c r="L12" s="6">
        <v>8.9700000000000006</v>
      </c>
      <c r="M12" s="9">
        <v>0.21199999999999999</v>
      </c>
      <c r="N12" s="9">
        <v>0</v>
      </c>
      <c r="O12" s="2">
        <v>3</v>
      </c>
      <c r="P12" s="2">
        <v>600</v>
      </c>
      <c r="Q12" s="7">
        <v>0.73333333333333328</v>
      </c>
    </row>
    <row r="13" spans="1:17" x14ac:dyDescent="0.3">
      <c r="A13" t="s">
        <v>74</v>
      </c>
      <c r="B13" t="s">
        <v>24</v>
      </c>
      <c r="C13" s="2">
        <v>432</v>
      </c>
      <c r="D13" s="2">
        <v>6</v>
      </c>
      <c r="E13" t="s">
        <v>75</v>
      </c>
      <c r="F13" s="4">
        <v>2.1</v>
      </c>
      <c r="G13" s="2">
        <v>19000</v>
      </c>
      <c r="H13" s="4">
        <v>4.3</v>
      </c>
      <c r="I13" s="4">
        <v>10.199999999999999</v>
      </c>
      <c r="J13" s="6">
        <v>33</v>
      </c>
      <c r="K13" s="6">
        <v>13.22</v>
      </c>
      <c r="L13" s="6">
        <v>8.9700000000000006</v>
      </c>
      <c r="M13" s="9">
        <v>0.32200000000000001</v>
      </c>
      <c r="N13" s="9">
        <v>0</v>
      </c>
      <c r="O13" s="2">
        <v>3</v>
      </c>
      <c r="P13" s="2">
        <v>600</v>
      </c>
      <c r="Q13" s="7">
        <v>0.6333333333333333</v>
      </c>
    </row>
    <row r="14" spans="1:17" x14ac:dyDescent="0.3">
      <c r="A14" t="s">
        <v>76</v>
      </c>
      <c r="B14" t="s">
        <v>20</v>
      </c>
      <c r="C14" s="2">
        <v>1469</v>
      </c>
      <c r="D14" s="2">
        <v>87</v>
      </c>
      <c r="E14" t="s">
        <v>77</v>
      </c>
      <c r="F14" s="4">
        <v>2.4</v>
      </c>
      <c r="G14" s="2">
        <v>15000</v>
      </c>
      <c r="H14" s="4">
        <v>5.7</v>
      </c>
      <c r="I14" s="4">
        <v>14.3</v>
      </c>
      <c r="J14" s="6">
        <v>26.75</v>
      </c>
      <c r="K14" s="6">
        <v>10.1</v>
      </c>
      <c r="L14" s="6">
        <v>7.85</v>
      </c>
      <c r="M14" s="9">
        <v>0.30099999999999999</v>
      </c>
      <c r="N14" s="9">
        <v>0</v>
      </c>
      <c r="O14" s="2">
        <v>4</v>
      </c>
      <c r="P14" s="2">
        <v>1700</v>
      </c>
      <c r="Q14" s="7">
        <v>0.81176470588235294</v>
      </c>
    </row>
    <row r="15" spans="1:17" x14ac:dyDescent="0.3">
      <c r="A15" t="s">
        <v>78</v>
      </c>
      <c r="B15" t="s">
        <v>21</v>
      </c>
      <c r="C15" s="2">
        <v>2039</v>
      </c>
      <c r="D15" s="2">
        <v>0</v>
      </c>
      <c r="E15" t="s">
        <v>71</v>
      </c>
      <c r="F15" s="4">
        <v>2.9</v>
      </c>
      <c r="G15" s="2">
        <v>14000</v>
      </c>
      <c r="H15" s="4">
        <v>2.2000000000000002</v>
      </c>
      <c r="I15" s="4">
        <v>17.8</v>
      </c>
      <c r="J15" s="6">
        <v>19</v>
      </c>
      <c r="K15" s="6">
        <v>6.24</v>
      </c>
      <c r="L15" s="6">
        <v>7.71</v>
      </c>
      <c r="M15" s="9">
        <v>0.222</v>
      </c>
      <c r="N15" s="9">
        <v>0.44299999999999995</v>
      </c>
      <c r="O15" s="2">
        <v>5.5</v>
      </c>
      <c r="P15" s="2">
        <v>2000</v>
      </c>
      <c r="Q15" s="7">
        <v>1.4428571428571428</v>
      </c>
    </row>
    <row r="16" spans="1:17" x14ac:dyDescent="0.3">
      <c r="A16" t="s">
        <v>79</v>
      </c>
      <c r="B16" t="s">
        <v>22</v>
      </c>
      <c r="C16" s="2">
        <v>425</v>
      </c>
      <c r="D16" s="2">
        <v>120</v>
      </c>
      <c r="E16" t="s">
        <v>80</v>
      </c>
      <c r="F16" s="4">
        <v>1.4</v>
      </c>
      <c r="G16" s="2">
        <v>23000</v>
      </c>
      <c r="H16" s="4">
        <v>9.1</v>
      </c>
      <c r="I16" s="4">
        <v>10.8</v>
      </c>
      <c r="J16" s="6">
        <v>37</v>
      </c>
      <c r="K16" s="6">
        <v>16.02</v>
      </c>
      <c r="L16" s="6">
        <v>8.9700000000000006</v>
      </c>
      <c r="M16" s="9">
        <v>0.31900000000000001</v>
      </c>
      <c r="N16" s="9">
        <v>0</v>
      </c>
      <c r="O16" s="2">
        <v>3</v>
      </c>
      <c r="P16" s="2">
        <v>800</v>
      </c>
      <c r="Q16" s="7">
        <v>0.63749999999999996</v>
      </c>
    </row>
    <row r="17" spans="1:17" x14ac:dyDescent="0.3">
      <c r="A17" t="s">
        <v>81</v>
      </c>
      <c r="B17" t="s">
        <v>23</v>
      </c>
      <c r="C17" s="2">
        <v>467</v>
      </c>
      <c r="D17" s="2">
        <v>165</v>
      </c>
      <c r="E17" t="s">
        <v>82</v>
      </c>
      <c r="F17" s="4">
        <v>2</v>
      </c>
      <c r="G17" s="2">
        <v>26000</v>
      </c>
      <c r="H17" s="4">
        <v>10.4</v>
      </c>
      <c r="I17" s="4">
        <v>15.4</v>
      </c>
      <c r="J17" s="6">
        <v>32.75</v>
      </c>
      <c r="K17" s="6">
        <v>15.8</v>
      </c>
      <c r="L17" s="6">
        <v>8.9700000000000006</v>
      </c>
      <c r="M17" s="9">
        <v>0.217</v>
      </c>
      <c r="N17" s="9">
        <v>0</v>
      </c>
      <c r="O17" s="2">
        <v>3</v>
      </c>
      <c r="P17" s="2">
        <v>600</v>
      </c>
      <c r="Q17" s="7">
        <v>0.93333333333333335</v>
      </c>
    </row>
    <row r="18" spans="1:17" x14ac:dyDescent="0.3">
      <c r="A18" t="s">
        <v>83</v>
      </c>
      <c r="B18" t="s">
        <v>24</v>
      </c>
      <c r="C18" s="2">
        <v>325</v>
      </c>
      <c r="D18" s="2">
        <v>213</v>
      </c>
      <c r="E18" t="s">
        <v>84</v>
      </c>
      <c r="F18" s="4">
        <v>1.8</v>
      </c>
      <c r="G18" s="2">
        <v>19000</v>
      </c>
      <c r="H18" s="4">
        <v>4.7</v>
      </c>
      <c r="I18" s="4">
        <v>9.6</v>
      </c>
      <c r="J18" s="6">
        <v>32</v>
      </c>
      <c r="K18" s="6">
        <v>13.73</v>
      </c>
      <c r="L18" s="6">
        <v>8.9700000000000006</v>
      </c>
      <c r="M18" s="9">
        <v>0.255</v>
      </c>
      <c r="N18" s="9">
        <v>0</v>
      </c>
      <c r="O18" s="2">
        <v>3</v>
      </c>
      <c r="P18" s="2">
        <v>600</v>
      </c>
      <c r="Q18" s="7">
        <v>0.8</v>
      </c>
    </row>
    <row r="19" spans="1:17" x14ac:dyDescent="0.3">
      <c r="A19" t="s">
        <v>85</v>
      </c>
      <c r="B19" t="s">
        <v>20</v>
      </c>
      <c r="C19" s="2">
        <v>1022</v>
      </c>
      <c r="D19" s="2">
        <v>352</v>
      </c>
      <c r="E19" t="s">
        <v>86</v>
      </c>
      <c r="F19" s="4">
        <v>2.2999999999999998</v>
      </c>
      <c r="G19" s="2">
        <v>14000</v>
      </c>
      <c r="H19" s="4">
        <v>5.8</v>
      </c>
      <c r="I19" s="4">
        <v>14.2</v>
      </c>
      <c r="J19" s="6">
        <v>28</v>
      </c>
      <c r="K19" s="6">
        <v>9.9</v>
      </c>
      <c r="L19" s="6">
        <v>7.87</v>
      </c>
      <c r="M19" s="9">
        <v>0.311</v>
      </c>
      <c r="N19" s="9">
        <v>0</v>
      </c>
      <c r="O19" s="2">
        <v>4</v>
      </c>
      <c r="P19" s="2">
        <v>1800</v>
      </c>
      <c r="Q19" s="7">
        <v>0.66666666666666663</v>
      </c>
    </row>
    <row r="20" spans="1:17" x14ac:dyDescent="0.3">
      <c r="A20" t="s">
        <v>87</v>
      </c>
      <c r="B20" t="s">
        <v>21</v>
      </c>
      <c r="C20" s="2">
        <v>1835</v>
      </c>
      <c r="D20" s="2">
        <v>0</v>
      </c>
      <c r="E20" t="s">
        <v>88</v>
      </c>
      <c r="F20" s="4">
        <v>3</v>
      </c>
      <c r="G20" s="2">
        <v>12100</v>
      </c>
      <c r="H20" s="4">
        <v>2.2999999999999998</v>
      </c>
      <c r="I20" s="4">
        <v>17.5</v>
      </c>
      <c r="J20" s="6">
        <v>15.75</v>
      </c>
      <c r="K20" s="6">
        <v>5.87</v>
      </c>
      <c r="L20" s="6">
        <v>7.48</v>
      </c>
      <c r="M20" s="9">
        <v>8.8000000000000009E-2</v>
      </c>
      <c r="N20" s="9">
        <v>0.3</v>
      </c>
      <c r="O20" s="2">
        <v>7</v>
      </c>
      <c r="P20" s="2">
        <v>2000</v>
      </c>
      <c r="Q20" s="7">
        <v>1.3</v>
      </c>
    </row>
    <row r="21" spans="1:17" x14ac:dyDescent="0.3">
      <c r="A21" t="s">
        <v>89</v>
      </c>
      <c r="B21" t="s">
        <v>23</v>
      </c>
      <c r="C21" s="2">
        <v>383</v>
      </c>
      <c r="D21" s="2">
        <v>198</v>
      </c>
      <c r="E21" t="s">
        <v>90</v>
      </c>
      <c r="F21" s="4">
        <v>1.9</v>
      </c>
      <c r="G21" s="2">
        <v>27000</v>
      </c>
      <c r="H21" s="4">
        <v>10.5</v>
      </c>
      <c r="I21" s="4">
        <v>15.2</v>
      </c>
      <c r="J21" s="6">
        <v>33</v>
      </c>
      <c r="K21" s="6">
        <v>16.22</v>
      </c>
      <c r="L21" s="6">
        <v>9</v>
      </c>
      <c r="M21" s="9">
        <v>0.20600000000000002</v>
      </c>
      <c r="N21" s="9">
        <v>0</v>
      </c>
      <c r="O21" s="2">
        <v>3</v>
      </c>
      <c r="P21" s="2">
        <v>600</v>
      </c>
      <c r="Q21" s="7">
        <v>0.85</v>
      </c>
    </row>
    <row r="22" spans="1:17" x14ac:dyDescent="0.3">
      <c r="A22" t="s">
        <v>91</v>
      </c>
      <c r="B22" t="s">
        <v>22</v>
      </c>
      <c r="C22" s="2">
        <v>333</v>
      </c>
      <c r="D22" s="2">
        <v>112</v>
      </c>
      <c r="E22" t="s">
        <v>92</v>
      </c>
      <c r="F22" s="4">
        <v>1.4</v>
      </c>
      <c r="G22" s="2">
        <v>23750</v>
      </c>
      <c r="H22" s="4">
        <v>9.1</v>
      </c>
      <c r="I22" s="4">
        <v>10.8</v>
      </c>
      <c r="J22" s="6">
        <v>38</v>
      </c>
      <c r="K22" s="6">
        <v>16.239999999999998</v>
      </c>
      <c r="L22" s="6">
        <v>9</v>
      </c>
      <c r="M22" s="9">
        <v>0.33200000000000002</v>
      </c>
      <c r="N22" s="9">
        <v>0</v>
      </c>
      <c r="O22" s="2">
        <v>3</v>
      </c>
      <c r="P22" s="2">
        <v>900</v>
      </c>
      <c r="Q22" s="7">
        <v>0.45555555555555555</v>
      </c>
    </row>
    <row r="23" spans="1:17" x14ac:dyDescent="0.3">
      <c r="A23" t="s">
        <v>93</v>
      </c>
      <c r="B23" t="s">
        <v>24</v>
      </c>
      <c r="C23" s="2">
        <v>276</v>
      </c>
      <c r="D23" s="2">
        <v>162</v>
      </c>
      <c r="E23" t="s">
        <v>92</v>
      </c>
      <c r="F23" s="4">
        <v>1.8</v>
      </c>
      <c r="G23" s="2">
        <v>20000</v>
      </c>
      <c r="H23" s="4">
        <v>4.8</v>
      </c>
      <c r="I23" s="4">
        <v>9.6</v>
      </c>
      <c r="J23" s="6">
        <v>33</v>
      </c>
      <c r="K23" s="6">
        <v>14.06</v>
      </c>
      <c r="L23" s="6">
        <v>9</v>
      </c>
      <c r="M23" s="9">
        <v>0.28100000000000003</v>
      </c>
      <c r="N23" s="9">
        <v>0</v>
      </c>
      <c r="O23" s="2">
        <v>3</v>
      </c>
      <c r="P23" s="2">
        <v>600</v>
      </c>
      <c r="Q23" s="7">
        <v>0.6333333333333333</v>
      </c>
    </row>
    <row r="24" spans="1:17" x14ac:dyDescent="0.3">
      <c r="A24" t="s">
        <v>94</v>
      </c>
      <c r="B24" t="s">
        <v>1</v>
      </c>
      <c r="C24" s="2">
        <v>0</v>
      </c>
      <c r="D24" s="2">
        <v>0</v>
      </c>
      <c r="E24" t="s">
        <v>95</v>
      </c>
      <c r="F24" s="4">
        <v>0</v>
      </c>
      <c r="G24" t="s">
        <v>64</v>
      </c>
      <c r="H24" t="s">
        <v>64</v>
      </c>
      <c r="I24" t="s">
        <v>64</v>
      </c>
      <c r="J24" s="6">
        <v>0</v>
      </c>
      <c r="K24" s="6">
        <v>0</v>
      </c>
      <c r="L24" s="6">
        <v>0</v>
      </c>
      <c r="M24" s="9">
        <v>0</v>
      </c>
      <c r="N24" s="9">
        <v>0</v>
      </c>
      <c r="O24" s="2">
        <v>3</v>
      </c>
      <c r="P24" s="2">
        <v>200</v>
      </c>
      <c r="Q24" s="7">
        <v>0</v>
      </c>
    </row>
    <row r="25" spans="1:17" x14ac:dyDescent="0.3">
      <c r="A25" t="s">
        <v>96</v>
      </c>
      <c r="B25" t="s">
        <v>20</v>
      </c>
      <c r="C25" s="2">
        <v>1442</v>
      </c>
      <c r="D25" s="2">
        <v>14</v>
      </c>
      <c r="E25" t="s">
        <v>97</v>
      </c>
      <c r="F25" s="4">
        <v>2.2999999999999998</v>
      </c>
      <c r="G25" s="2">
        <v>19000</v>
      </c>
      <c r="H25" s="4">
        <v>6.1</v>
      </c>
      <c r="I25" s="4">
        <v>13.9</v>
      </c>
      <c r="J25" s="6">
        <v>28</v>
      </c>
      <c r="K25" s="6">
        <v>11.71</v>
      </c>
      <c r="L25" s="6">
        <v>7.85</v>
      </c>
      <c r="M25" s="9">
        <v>0.307</v>
      </c>
      <c r="N25" s="9">
        <v>0</v>
      </c>
      <c r="O25" s="2">
        <v>4.8</v>
      </c>
      <c r="P25" s="2">
        <v>1700</v>
      </c>
      <c r="Q25" s="7">
        <v>0.75294117647058822</v>
      </c>
    </row>
    <row r="26" spans="1:17" x14ac:dyDescent="0.3">
      <c r="A26" t="s">
        <v>98</v>
      </c>
      <c r="B26" t="s">
        <v>21</v>
      </c>
      <c r="C26" s="2">
        <v>1850</v>
      </c>
      <c r="D26" s="2">
        <v>377</v>
      </c>
      <c r="E26" t="s">
        <v>99</v>
      </c>
      <c r="F26" s="4">
        <v>5.6</v>
      </c>
      <c r="G26" s="2">
        <v>14000</v>
      </c>
      <c r="H26" s="4">
        <v>3</v>
      </c>
      <c r="I26" s="4">
        <v>17</v>
      </c>
      <c r="J26" s="6">
        <v>21</v>
      </c>
      <c r="K26" s="6">
        <v>7.05</v>
      </c>
      <c r="L26" s="6">
        <v>7.89</v>
      </c>
      <c r="M26" s="9">
        <v>0.25700000000000001</v>
      </c>
      <c r="N26" s="9">
        <v>0.57899999999999996</v>
      </c>
      <c r="O26" s="2">
        <v>6.3</v>
      </c>
      <c r="P26" s="2">
        <v>1850</v>
      </c>
      <c r="Q26" s="7">
        <v>1.5785714285714285</v>
      </c>
    </row>
    <row r="27" spans="1:17" x14ac:dyDescent="0.3">
      <c r="A27" t="s">
        <v>100</v>
      </c>
      <c r="B27" t="s">
        <v>22</v>
      </c>
      <c r="C27" s="2">
        <v>638</v>
      </c>
      <c r="D27" s="2">
        <v>46</v>
      </c>
      <c r="E27" t="s">
        <v>101</v>
      </c>
      <c r="F27" s="4">
        <v>1.5</v>
      </c>
      <c r="G27" s="2">
        <v>25000</v>
      </c>
      <c r="H27" s="4">
        <v>8.8000000000000007</v>
      </c>
      <c r="I27" s="4">
        <v>11.2</v>
      </c>
      <c r="J27" s="6">
        <v>38.5</v>
      </c>
      <c r="K27" s="6">
        <v>16.260000000000002</v>
      </c>
      <c r="L27" s="6">
        <v>8.9700000000000006</v>
      </c>
      <c r="M27" s="9">
        <v>0.35299999999999998</v>
      </c>
      <c r="N27" s="9">
        <v>0</v>
      </c>
      <c r="O27" s="2">
        <v>3.3</v>
      </c>
      <c r="P27" s="2">
        <v>900</v>
      </c>
      <c r="Q27" s="7">
        <v>0.72222222222222221</v>
      </c>
    </row>
    <row r="28" spans="1:17" x14ac:dyDescent="0.3">
      <c r="A28" t="s">
        <v>102</v>
      </c>
      <c r="B28" t="s">
        <v>23</v>
      </c>
      <c r="C28" s="2">
        <v>535</v>
      </c>
      <c r="D28" s="2">
        <v>87</v>
      </c>
      <c r="E28" t="s">
        <v>103</v>
      </c>
      <c r="F28" s="4">
        <v>1.8</v>
      </c>
      <c r="G28" s="2">
        <v>27000</v>
      </c>
      <c r="H28" s="4">
        <v>10.4</v>
      </c>
      <c r="I28" s="4">
        <v>14.7</v>
      </c>
      <c r="J28" s="6">
        <v>34.25</v>
      </c>
      <c r="K28" s="6">
        <v>16.309999999999999</v>
      </c>
      <c r="L28" s="6">
        <v>8.9700000000000006</v>
      </c>
      <c r="M28" s="9">
        <v>0.26899999999999996</v>
      </c>
      <c r="N28" s="9">
        <v>0</v>
      </c>
      <c r="O28" s="2">
        <v>3.5</v>
      </c>
      <c r="P28" s="2">
        <v>600</v>
      </c>
      <c r="Q28" s="7">
        <v>0.91666666666666663</v>
      </c>
    </row>
    <row r="29" spans="1:17" x14ac:dyDescent="0.3">
      <c r="A29" t="s">
        <v>104</v>
      </c>
      <c r="B29" t="s">
        <v>24</v>
      </c>
      <c r="C29" s="2">
        <v>525</v>
      </c>
      <c r="D29" s="2">
        <v>33</v>
      </c>
      <c r="E29" t="s">
        <v>105</v>
      </c>
      <c r="F29" s="4">
        <v>1.9</v>
      </c>
      <c r="G29" s="2">
        <v>20000</v>
      </c>
      <c r="H29" s="4">
        <v>4.7</v>
      </c>
      <c r="I29" s="4">
        <v>9.9</v>
      </c>
      <c r="J29" s="6">
        <v>34.5</v>
      </c>
      <c r="K29" s="6">
        <v>13.83</v>
      </c>
      <c r="L29" s="6">
        <v>8.9700000000000006</v>
      </c>
      <c r="M29" s="9">
        <v>0.35</v>
      </c>
      <c r="N29" s="9">
        <v>0</v>
      </c>
      <c r="O29" s="2">
        <v>3.5</v>
      </c>
      <c r="P29" s="2">
        <v>600</v>
      </c>
      <c r="Q29" s="7">
        <v>0.83333333333333337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83"/>
  <sheetViews>
    <sheetView workbookViewId="0"/>
  </sheetViews>
  <sheetFormatPr defaultRowHeight="14.4" x14ac:dyDescent="0.3"/>
  <cols>
    <col min="1" max="1" width="47" customWidth="1"/>
    <col min="2" max="2" width="14" customWidth="1"/>
    <col min="3" max="3" width="12" customWidth="1"/>
    <col min="4" max="4" width="20" customWidth="1"/>
    <col min="5" max="5" width="14" customWidth="1"/>
    <col min="6" max="6" width="11" customWidth="1"/>
    <col min="7" max="7" width="6" customWidth="1"/>
    <col min="8" max="8" width="9" customWidth="1"/>
    <col min="9" max="9" width="6" customWidth="1"/>
    <col min="10" max="10" width="8" customWidth="1"/>
    <col min="11" max="30" width="0" hidden="1" customWidth="1"/>
  </cols>
  <sheetData>
    <row r="1" spans="1:6" x14ac:dyDescent="0.3">
      <c r="A1" s="1" t="s">
        <v>134</v>
      </c>
    </row>
    <row r="2" spans="1:6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 x14ac:dyDescent="0.3">
      <c r="A3" t="s">
        <v>13</v>
      </c>
      <c r="B3" s="5">
        <v>104677</v>
      </c>
      <c r="C3" s="5">
        <v>107967</v>
      </c>
      <c r="D3" s="5">
        <v>119443</v>
      </c>
      <c r="E3" s="5">
        <v>91884</v>
      </c>
      <c r="F3" s="5">
        <v>140227</v>
      </c>
    </row>
    <row r="4" spans="1:6" x14ac:dyDescent="0.3">
      <c r="A4" t="s">
        <v>135</v>
      </c>
      <c r="B4" s="5">
        <v>73462</v>
      </c>
      <c r="C4" s="5">
        <v>76353</v>
      </c>
      <c r="D4" s="5">
        <v>88017</v>
      </c>
      <c r="E4" s="5">
        <v>71067</v>
      </c>
      <c r="F4" s="5">
        <v>97935</v>
      </c>
    </row>
    <row r="5" spans="1:6" x14ac:dyDescent="0.3">
      <c r="A5" t="s">
        <v>136</v>
      </c>
      <c r="B5" s="5">
        <v>7587</v>
      </c>
      <c r="C5" s="5">
        <v>7587</v>
      </c>
      <c r="D5" s="5">
        <v>8627</v>
      </c>
      <c r="E5" s="5">
        <v>9693</v>
      </c>
      <c r="F5" s="5">
        <v>9456</v>
      </c>
    </row>
    <row r="6" spans="1:6" x14ac:dyDescent="0.3">
      <c r="A6" t="s">
        <v>137</v>
      </c>
      <c r="B6" s="5">
        <v>12679</v>
      </c>
      <c r="C6" s="5">
        <v>12082</v>
      </c>
      <c r="D6" s="5">
        <v>17204</v>
      </c>
      <c r="E6" s="5">
        <v>12666</v>
      </c>
      <c r="F6" s="5">
        <v>23983</v>
      </c>
    </row>
    <row r="7" spans="1:6" x14ac:dyDescent="0.3">
      <c r="A7" t="s">
        <v>138</v>
      </c>
      <c r="B7" s="5">
        <v>0</v>
      </c>
      <c r="C7" s="5">
        <v>0</v>
      </c>
      <c r="D7" s="5">
        <v>517</v>
      </c>
      <c r="E7" s="5">
        <v>226</v>
      </c>
      <c r="F7" s="5">
        <v>892</v>
      </c>
    </row>
    <row r="8" spans="1:6" x14ac:dyDescent="0.3">
      <c r="A8" t="s">
        <v>14</v>
      </c>
      <c r="B8" s="5">
        <v>10950</v>
      </c>
      <c r="C8" s="5">
        <v>11946</v>
      </c>
      <c r="D8" s="5">
        <v>5078</v>
      </c>
      <c r="E8" s="5">
        <v>-1768</v>
      </c>
      <c r="F8" s="5">
        <v>7962</v>
      </c>
    </row>
    <row r="9" spans="1:6" x14ac:dyDescent="0.3">
      <c r="A9" t="s">
        <v>139</v>
      </c>
      <c r="B9" s="5">
        <v>5421</v>
      </c>
      <c r="C9" s="5">
        <v>5421</v>
      </c>
      <c r="D9" s="5">
        <v>5663</v>
      </c>
      <c r="E9" s="5">
        <v>10982</v>
      </c>
      <c r="F9" s="5">
        <v>7679</v>
      </c>
    </row>
    <row r="10" spans="1:6" x14ac:dyDescent="0.3">
      <c r="A10" t="s">
        <v>140</v>
      </c>
      <c r="B10" s="5">
        <v>1935</v>
      </c>
      <c r="C10" s="5">
        <v>2284</v>
      </c>
      <c r="D10" s="5">
        <v>-205</v>
      </c>
      <c r="E10" s="5">
        <v>-4462</v>
      </c>
      <c r="F10" s="5">
        <v>99</v>
      </c>
    </row>
    <row r="11" spans="1:6" x14ac:dyDescent="0.3">
      <c r="A11" t="s">
        <v>141</v>
      </c>
      <c r="B11" s="5">
        <v>72</v>
      </c>
      <c r="C11" s="5">
        <v>85</v>
      </c>
      <c r="D11" s="5">
        <v>0</v>
      </c>
      <c r="E11" s="5">
        <v>0</v>
      </c>
      <c r="F11" s="5">
        <v>4</v>
      </c>
    </row>
    <row r="12" spans="1:6" x14ac:dyDescent="0.3">
      <c r="A12" t="s">
        <v>142</v>
      </c>
      <c r="B12" s="5">
        <v>3522</v>
      </c>
      <c r="C12" s="5">
        <v>4156</v>
      </c>
      <c r="D12" s="5">
        <v>-380</v>
      </c>
      <c r="E12" s="5">
        <v>-8287</v>
      </c>
      <c r="F12" s="5">
        <v>180</v>
      </c>
    </row>
    <row r="14" spans="1:6" x14ac:dyDescent="0.3">
      <c r="A14" s="1" t="s">
        <v>143</v>
      </c>
    </row>
    <row r="15" spans="1:6" x14ac:dyDescent="0.3">
      <c r="A15" s="1" t="s">
        <v>1</v>
      </c>
      <c r="B15" s="1" t="s">
        <v>2</v>
      </c>
      <c r="C15" s="1" t="s">
        <v>3</v>
      </c>
      <c r="D15" s="1" t="s">
        <v>4</v>
      </c>
      <c r="E15" s="1" t="s">
        <v>5</v>
      </c>
      <c r="F15" s="1" t="s">
        <v>6</v>
      </c>
    </row>
    <row r="16" spans="1:6" x14ac:dyDescent="0.3">
      <c r="A16" t="s">
        <v>144</v>
      </c>
      <c r="B16" s="5">
        <v>8208</v>
      </c>
      <c r="C16" s="5">
        <v>11486</v>
      </c>
      <c r="D16" s="5">
        <v>0</v>
      </c>
      <c r="E16" s="5">
        <v>0</v>
      </c>
      <c r="F16" s="5">
        <v>3653</v>
      </c>
    </row>
    <row r="17" spans="1:6" x14ac:dyDescent="0.3">
      <c r="A17" t="s">
        <v>145</v>
      </c>
      <c r="B17" s="5">
        <v>8604</v>
      </c>
      <c r="C17" s="5">
        <v>8874</v>
      </c>
      <c r="D17" s="5">
        <v>9817</v>
      </c>
      <c r="E17" s="5">
        <v>6293</v>
      </c>
      <c r="F17" s="5">
        <v>11525</v>
      </c>
    </row>
    <row r="18" spans="1:6" x14ac:dyDescent="0.3">
      <c r="A18" t="s">
        <v>124</v>
      </c>
      <c r="B18" s="5">
        <v>14444</v>
      </c>
      <c r="C18" s="5">
        <v>11559</v>
      </c>
      <c r="D18" s="5">
        <v>13302</v>
      </c>
      <c r="E18" s="5">
        <v>17720</v>
      </c>
      <c r="F18" s="5">
        <v>10022</v>
      </c>
    </row>
    <row r="19" spans="1:6" x14ac:dyDescent="0.3">
      <c r="A19" t="s">
        <v>146</v>
      </c>
      <c r="B19" s="5">
        <v>31255</v>
      </c>
      <c r="C19" s="5">
        <v>31918</v>
      </c>
      <c r="D19" s="5">
        <v>23119</v>
      </c>
      <c r="E19" s="5">
        <v>24013</v>
      </c>
      <c r="F19" s="5">
        <v>25201</v>
      </c>
    </row>
    <row r="20" spans="1:6" x14ac:dyDescent="0.3">
      <c r="A20" t="s">
        <v>147</v>
      </c>
      <c r="B20" s="5">
        <v>113800</v>
      </c>
      <c r="C20" s="5">
        <v>113800</v>
      </c>
      <c r="D20" s="5">
        <v>129400</v>
      </c>
      <c r="E20" s="5">
        <v>145400</v>
      </c>
      <c r="F20" s="5">
        <v>145440</v>
      </c>
    </row>
    <row r="21" spans="1:6" x14ac:dyDescent="0.3">
      <c r="A21" t="s">
        <v>148</v>
      </c>
      <c r="B21" s="5">
        <v>-45520</v>
      </c>
      <c r="C21" s="5">
        <v>-45520</v>
      </c>
      <c r="D21" s="5">
        <v>-45227</v>
      </c>
      <c r="E21" s="5">
        <v>-47627</v>
      </c>
      <c r="F21" s="5">
        <v>-46656</v>
      </c>
    </row>
    <row r="22" spans="1:6" x14ac:dyDescent="0.3">
      <c r="A22" t="s">
        <v>149</v>
      </c>
      <c r="B22" s="5">
        <v>68280</v>
      </c>
      <c r="C22" s="5">
        <v>68280</v>
      </c>
      <c r="D22" s="5">
        <v>84173</v>
      </c>
      <c r="E22" s="5">
        <v>97773</v>
      </c>
      <c r="F22" s="5">
        <v>98784</v>
      </c>
    </row>
    <row r="23" spans="1:6" x14ac:dyDescent="0.3">
      <c r="A23" t="s">
        <v>150</v>
      </c>
      <c r="B23" s="5">
        <v>99535</v>
      </c>
      <c r="C23" s="5">
        <v>100198</v>
      </c>
      <c r="D23" s="5">
        <v>107293</v>
      </c>
      <c r="E23" s="5">
        <v>121787</v>
      </c>
      <c r="F23" s="5">
        <v>123985</v>
      </c>
    </row>
    <row r="24" spans="1:6" x14ac:dyDescent="0.3">
      <c r="A24" t="s">
        <v>151</v>
      </c>
      <c r="B24" s="5">
        <v>6374</v>
      </c>
      <c r="C24" s="5">
        <v>6403</v>
      </c>
      <c r="D24" s="5">
        <v>7488</v>
      </c>
      <c r="E24" s="5">
        <v>7056</v>
      </c>
      <c r="F24" s="5">
        <v>8066</v>
      </c>
    </row>
    <row r="25" spans="1:6" x14ac:dyDescent="0.3">
      <c r="A25" t="s">
        <v>152</v>
      </c>
      <c r="B25" s="5">
        <v>0</v>
      </c>
      <c r="C25" s="5">
        <v>0</v>
      </c>
      <c r="D25" s="5">
        <v>1546</v>
      </c>
      <c r="E25" s="5">
        <v>42858</v>
      </c>
      <c r="F25" s="5">
        <v>9000</v>
      </c>
    </row>
    <row r="26" spans="1:6" x14ac:dyDescent="0.3">
      <c r="A26" t="s">
        <v>153</v>
      </c>
      <c r="B26" s="5">
        <v>41700</v>
      </c>
      <c r="C26" s="5">
        <v>41700</v>
      </c>
      <c r="D26" s="5">
        <v>41700</v>
      </c>
      <c r="E26" s="5">
        <v>33221</v>
      </c>
      <c r="F26" s="5">
        <v>53800</v>
      </c>
    </row>
    <row r="27" spans="1:6" x14ac:dyDescent="0.3">
      <c r="A27" t="s">
        <v>154</v>
      </c>
      <c r="B27" s="5">
        <v>48074</v>
      </c>
      <c r="C27" s="5">
        <v>48103</v>
      </c>
      <c r="D27" s="5">
        <v>50734</v>
      </c>
      <c r="E27" s="5">
        <v>83135</v>
      </c>
      <c r="F27" s="5">
        <v>70866</v>
      </c>
    </row>
    <row r="28" spans="1:6" x14ac:dyDescent="0.3">
      <c r="A28" t="s">
        <v>155</v>
      </c>
      <c r="B28" s="5">
        <v>18360</v>
      </c>
      <c r="C28" s="5">
        <v>18360</v>
      </c>
      <c r="D28" s="5">
        <v>27360</v>
      </c>
      <c r="E28" s="5">
        <v>19082</v>
      </c>
      <c r="F28" s="5">
        <v>23360</v>
      </c>
    </row>
    <row r="29" spans="1:6" x14ac:dyDescent="0.3">
      <c r="A29" t="s">
        <v>156</v>
      </c>
      <c r="B29" s="5">
        <v>33101</v>
      </c>
      <c r="C29" s="5">
        <v>33735</v>
      </c>
      <c r="D29" s="5">
        <v>29199</v>
      </c>
      <c r="E29" s="5">
        <v>19569</v>
      </c>
      <c r="F29" s="5">
        <v>29759</v>
      </c>
    </row>
    <row r="30" spans="1:6" x14ac:dyDescent="0.3">
      <c r="A30" t="s">
        <v>157</v>
      </c>
      <c r="B30" s="5">
        <v>51461</v>
      </c>
      <c r="C30" s="5">
        <v>52095</v>
      </c>
      <c r="D30" s="5">
        <v>56559</v>
      </c>
      <c r="E30" s="5">
        <v>38651</v>
      </c>
      <c r="F30" s="5">
        <v>53119</v>
      </c>
    </row>
    <row r="31" spans="1:6" x14ac:dyDescent="0.3">
      <c r="A31" t="s">
        <v>158</v>
      </c>
      <c r="B31" s="5">
        <v>99535</v>
      </c>
      <c r="C31" s="5">
        <v>100198</v>
      </c>
      <c r="D31" s="5">
        <v>107293</v>
      </c>
      <c r="E31" s="5">
        <v>121787</v>
      </c>
      <c r="F31" s="5">
        <v>123985</v>
      </c>
    </row>
    <row r="33" spans="1:6" x14ac:dyDescent="0.3">
      <c r="A33" s="1" t="s">
        <v>159</v>
      </c>
    </row>
    <row r="34" spans="1:6" x14ac:dyDescent="0.3">
      <c r="A34" s="1" t="s">
        <v>1</v>
      </c>
      <c r="B34" s="1" t="s">
        <v>2</v>
      </c>
      <c r="C34" s="1" t="s">
        <v>3</v>
      </c>
      <c r="D34" s="1" t="s">
        <v>4</v>
      </c>
      <c r="E34" s="1" t="s">
        <v>5</v>
      </c>
      <c r="F34" s="1" t="s">
        <v>6</v>
      </c>
    </row>
    <row r="35" spans="1:6" x14ac:dyDescent="0.3">
      <c r="A35" t="s">
        <v>160</v>
      </c>
      <c r="B35" t="s">
        <v>1</v>
      </c>
      <c r="C35" t="s">
        <v>1</v>
      </c>
      <c r="D35" t="s">
        <v>1</v>
      </c>
      <c r="E35" t="s">
        <v>1</v>
      </c>
      <c r="F35" t="s">
        <v>1</v>
      </c>
    </row>
    <row r="36" spans="1:6" x14ac:dyDescent="0.3">
      <c r="A36" t="s">
        <v>161</v>
      </c>
      <c r="B36" s="5">
        <v>3522</v>
      </c>
      <c r="C36" s="5">
        <v>4156</v>
      </c>
      <c r="D36" s="5">
        <v>-380</v>
      </c>
      <c r="E36" s="5">
        <v>-8287</v>
      </c>
      <c r="F36" s="5">
        <v>180</v>
      </c>
    </row>
    <row r="37" spans="1:6" x14ac:dyDescent="0.3">
      <c r="A37" t="s">
        <v>162</v>
      </c>
      <c r="B37" t="s">
        <v>1</v>
      </c>
      <c r="C37" t="s">
        <v>1</v>
      </c>
      <c r="D37" t="s">
        <v>1</v>
      </c>
      <c r="E37" t="s">
        <v>1</v>
      </c>
      <c r="F37" t="s">
        <v>1</v>
      </c>
    </row>
    <row r="38" spans="1:6" x14ac:dyDescent="0.3">
      <c r="A38" t="s">
        <v>136</v>
      </c>
      <c r="B38" s="5">
        <v>7587</v>
      </c>
      <c r="C38" s="5">
        <v>7587</v>
      </c>
      <c r="D38" s="5">
        <v>8627</v>
      </c>
      <c r="E38" s="5">
        <v>9693</v>
      </c>
      <c r="F38" s="5">
        <v>9456</v>
      </c>
    </row>
    <row r="39" spans="1:6" x14ac:dyDescent="0.3">
      <c r="A39" t="s">
        <v>163</v>
      </c>
      <c r="B39" s="5">
        <v>0</v>
      </c>
      <c r="C39" s="5">
        <v>0</v>
      </c>
      <c r="D39" s="5">
        <v>67</v>
      </c>
      <c r="E39" s="5">
        <v>21</v>
      </c>
      <c r="F39" s="5">
        <v>37</v>
      </c>
    </row>
    <row r="40" spans="1:6" x14ac:dyDescent="0.3">
      <c r="A40" t="s">
        <v>164</v>
      </c>
      <c r="B40" t="s">
        <v>1</v>
      </c>
      <c r="C40" t="s">
        <v>1</v>
      </c>
      <c r="D40" t="s">
        <v>1</v>
      </c>
      <c r="E40" t="s">
        <v>1</v>
      </c>
      <c r="F40" t="s">
        <v>1</v>
      </c>
    </row>
    <row r="41" spans="1:6" x14ac:dyDescent="0.3">
      <c r="A41" t="s">
        <v>151</v>
      </c>
      <c r="B41" s="5">
        <v>-209</v>
      </c>
      <c r="C41" s="5">
        <v>-180</v>
      </c>
      <c r="D41" s="5">
        <v>905</v>
      </c>
      <c r="E41" s="5">
        <v>472</v>
      </c>
      <c r="F41" s="5">
        <v>1482</v>
      </c>
    </row>
    <row r="42" spans="1:6" x14ac:dyDescent="0.3">
      <c r="A42" t="s">
        <v>124</v>
      </c>
      <c r="B42" s="5">
        <v>-5826</v>
      </c>
      <c r="C42" s="5">
        <v>-2941</v>
      </c>
      <c r="D42" s="5">
        <v>-4684</v>
      </c>
      <c r="E42" s="5">
        <v>-9102</v>
      </c>
      <c r="F42" s="5">
        <v>-1405</v>
      </c>
    </row>
    <row r="43" spans="1:6" x14ac:dyDescent="0.3">
      <c r="A43" t="s">
        <v>145</v>
      </c>
      <c r="B43" s="5">
        <v>-296</v>
      </c>
      <c r="C43" s="5">
        <v>-567</v>
      </c>
      <c r="D43" s="5">
        <v>-1510</v>
      </c>
      <c r="E43" s="5">
        <v>2014</v>
      </c>
      <c r="F43" s="5">
        <v>-3218</v>
      </c>
    </row>
    <row r="44" spans="1:6" x14ac:dyDescent="0.3">
      <c r="A44" t="s">
        <v>165</v>
      </c>
      <c r="B44" s="5">
        <v>4777</v>
      </c>
      <c r="C44" s="5">
        <v>8055</v>
      </c>
      <c r="D44" s="5">
        <v>3024</v>
      </c>
      <c r="E44" s="5">
        <v>-5189</v>
      </c>
      <c r="F44" s="5">
        <v>6532</v>
      </c>
    </row>
    <row r="45" spans="1:6" x14ac:dyDescent="0.3">
      <c r="A45" t="s">
        <v>166</v>
      </c>
      <c r="B45" t="s">
        <v>1</v>
      </c>
      <c r="C45" t="s">
        <v>1</v>
      </c>
      <c r="D45" t="s">
        <v>1</v>
      </c>
      <c r="E45" t="s">
        <v>1</v>
      </c>
      <c r="F45" t="s">
        <v>1</v>
      </c>
    </row>
    <row r="46" spans="1:6" x14ac:dyDescent="0.3">
      <c r="A46" t="s">
        <v>167</v>
      </c>
      <c r="B46" s="5">
        <v>0</v>
      </c>
      <c r="C46" s="5">
        <v>0</v>
      </c>
      <c r="D46" s="5">
        <v>-17000</v>
      </c>
      <c r="E46" s="5">
        <v>-31600</v>
      </c>
      <c r="F46" s="5">
        <v>-32410</v>
      </c>
    </row>
    <row r="47" spans="1:6" x14ac:dyDescent="0.3">
      <c r="A47" t="s">
        <v>168</v>
      </c>
      <c r="B47" t="s">
        <v>1</v>
      </c>
      <c r="C47" t="s">
        <v>1</v>
      </c>
      <c r="D47" t="s">
        <v>1</v>
      </c>
      <c r="E47" t="s">
        <v>1</v>
      </c>
      <c r="F47" t="s">
        <v>1</v>
      </c>
    </row>
    <row r="48" spans="1:6" x14ac:dyDescent="0.3">
      <c r="A48" t="s">
        <v>169</v>
      </c>
      <c r="B48" s="5">
        <v>0</v>
      </c>
      <c r="C48" s="5">
        <v>0</v>
      </c>
      <c r="D48" s="5">
        <v>0</v>
      </c>
      <c r="E48" s="5">
        <v>-1000</v>
      </c>
      <c r="F48" s="5">
        <v>0</v>
      </c>
    </row>
    <row r="49" spans="1:10" x14ac:dyDescent="0.3">
      <c r="A49" t="s">
        <v>170</v>
      </c>
      <c r="B49" s="5">
        <v>0</v>
      </c>
      <c r="C49" s="5">
        <v>0</v>
      </c>
      <c r="D49" s="5">
        <v>9000</v>
      </c>
      <c r="E49" s="5">
        <v>1200</v>
      </c>
      <c r="F49" s="5">
        <v>5000</v>
      </c>
    </row>
    <row r="50" spans="1:10" x14ac:dyDescent="0.3">
      <c r="A50" t="s">
        <v>171</v>
      </c>
      <c r="B50" s="5">
        <v>0</v>
      </c>
      <c r="C50" s="5">
        <v>0</v>
      </c>
      <c r="D50" s="5">
        <v>0</v>
      </c>
      <c r="E50" s="5">
        <v>-1200</v>
      </c>
      <c r="F50" s="5">
        <v>0</v>
      </c>
    </row>
    <row r="51" spans="1:10" x14ac:dyDescent="0.3">
      <c r="A51" t="s">
        <v>172</v>
      </c>
      <c r="B51" s="5">
        <v>0</v>
      </c>
      <c r="C51" s="5">
        <v>0</v>
      </c>
      <c r="D51" s="5">
        <v>0</v>
      </c>
      <c r="E51" s="5">
        <v>0</v>
      </c>
      <c r="F51" s="5">
        <v>12100</v>
      </c>
    </row>
    <row r="52" spans="1:10" x14ac:dyDescent="0.3">
      <c r="A52" t="s">
        <v>173</v>
      </c>
      <c r="B52" s="5">
        <v>0</v>
      </c>
      <c r="C52" s="5">
        <v>0</v>
      </c>
      <c r="D52" s="5">
        <v>0</v>
      </c>
      <c r="E52" s="5">
        <v>-8500</v>
      </c>
      <c r="F52" s="5">
        <v>0</v>
      </c>
    </row>
    <row r="53" spans="1:10" x14ac:dyDescent="0.3">
      <c r="A53" t="s">
        <v>174</v>
      </c>
      <c r="B53" s="5">
        <v>0</v>
      </c>
      <c r="C53" s="5">
        <v>0</v>
      </c>
      <c r="D53" s="5">
        <v>0</v>
      </c>
      <c r="E53" s="5">
        <v>0</v>
      </c>
      <c r="F53" s="5">
        <v>0</v>
      </c>
    </row>
    <row r="54" spans="1:10" x14ac:dyDescent="0.3">
      <c r="A54" t="s">
        <v>175</v>
      </c>
      <c r="B54" s="5">
        <v>0</v>
      </c>
      <c r="C54" s="5">
        <v>0</v>
      </c>
      <c r="D54" s="5">
        <v>0</v>
      </c>
      <c r="E54" s="5">
        <v>3200</v>
      </c>
      <c r="F54" s="5">
        <v>9000</v>
      </c>
    </row>
    <row r="55" spans="1:10" x14ac:dyDescent="0.3">
      <c r="A55" t="s">
        <v>176</v>
      </c>
      <c r="B55" s="5">
        <v>0</v>
      </c>
      <c r="C55" s="5">
        <v>0</v>
      </c>
      <c r="D55" s="5">
        <v>1546</v>
      </c>
      <c r="E55" s="5">
        <v>39658</v>
      </c>
      <c r="F55" s="5">
        <v>0</v>
      </c>
    </row>
    <row r="56" spans="1:10" x14ac:dyDescent="0.3">
      <c r="A56" t="s">
        <v>177</v>
      </c>
      <c r="B56" s="5">
        <v>0</v>
      </c>
      <c r="C56" s="5">
        <v>0</v>
      </c>
      <c r="D56" s="5">
        <v>10546</v>
      </c>
      <c r="E56" s="5">
        <v>33358</v>
      </c>
      <c r="F56" s="5">
        <v>26100</v>
      </c>
    </row>
    <row r="57" spans="1:10" x14ac:dyDescent="0.3">
      <c r="A57" t="s">
        <v>178</v>
      </c>
      <c r="B57" s="5">
        <v>4777</v>
      </c>
      <c r="C57" s="5">
        <v>8055</v>
      </c>
      <c r="D57" s="5">
        <v>-3431</v>
      </c>
      <c r="E57" s="5">
        <v>-3431</v>
      </c>
      <c r="F57" s="5">
        <v>222</v>
      </c>
    </row>
    <row r="59" spans="1:10" x14ac:dyDescent="0.3">
      <c r="A59" s="1" t="s">
        <v>179</v>
      </c>
    </row>
    <row r="60" spans="1:10" x14ac:dyDescent="0.3">
      <c r="A60" s="1" t="s">
        <v>180</v>
      </c>
      <c r="B60" s="1" t="s">
        <v>181</v>
      </c>
      <c r="C60" s="1" t="s">
        <v>182</v>
      </c>
      <c r="D60" s="1" t="s">
        <v>183</v>
      </c>
      <c r="E60" s="1" t="s">
        <v>184</v>
      </c>
      <c r="F60" s="1" t="s">
        <v>185</v>
      </c>
      <c r="G60" s="1" t="s">
        <v>186</v>
      </c>
      <c r="H60" s="1" t="s">
        <v>187</v>
      </c>
      <c r="I60" s="1" t="s">
        <v>188</v>
      </c>
      <c r="J60" s="1" t="s">
        <v>189</v>
      </c>
    </row>
    <row r="61" spans="1:10" x14ac:dyDescent="0.3">
      <c r="A61" t="s">
        <v>2</v>
      </c>
      <c r="B61" s="6">
        <v>37.200000000000003</v>
      </c>
      <c r="C61" s="6">
        <v>2.95</v>
      </c>
      <c r="D61" s="5">
        <v>2000000</v>
      </c>
      <c r="E61" s="5">
        <v>74</v>
      </c>
      <c r="F61" s="6">
        <v>25.73</v>
      </c>
      <c r="G61" s="6">
        <v>1.76</v>
      </c>
      <c r="H61" s="5">
        <v>0</v>
      </c>
      <c r="I61" s="7">
        <v>0</v>
      </c>
      <c r="J61" s="4">
        <v>21.12</v>
      </c>
    </row>
    <row r="62" spans="1:10" x14ac:dyDescent="0.3">
      <c r="A62" t="s">
        <v>3</v>
      </c>
      <c r="B62" s="6">
        <v>38.47</v>
      </c>
      <c r="C62" s="6">
        <v>4.22</v>
      </c>
      <c r="D62" s="5">
        <v>2000000</v>
      </c>
      <c r="E62" s="5">
        <v>77</v>
      </c>
      <c r="F62" s="6">
        <v>26.05</v>
      </c>
      <c r="G62" s="6">
        <v>2.08</v>
      </c>
      <c r="H62" s="5">
        <v>0</v>
      </c>
      <c r="I62" s="7">
        <v>0</v>
      </c>
      <c r="J62" s="4">
        <v>18.510000000000002</v>
      </c>
    </row>
    <row r="63" spans="1:10" x14ac:dyDescent="0.3">
      <c r="A63" t="s">
        <v>4</v>
      </c>
      <c r="B63" s="6">
        <v>27.61</v>
      </c>
      <c r="C63" s="6">
        <v>-6.64</v>
      </c>
      <c r="D63" s="5">
        <v>2262786</v>
      </c>
      <c r="E63" s="5">
        <v>62</v>
      </c>
      <c r="F63" s="6">
        <v>25</v>
      </c>
      <c r="G63" s="6">
        <v>-0.17</v>
      </c>
      <c r="H63" s="5">
        <v>0</v>
      </c>
      <c r="I63" s="7">
        <v>0</v>
      </c>
      <c r="J63" s="4">
        <v>-164.46</v>
      </c>
    </row>
    <row r="64" spans="1:10" x14ac:dyDescent="0.3">
      <c r="A64" t="s">
        <v>5</v>
      </c>
      <c r="B64" s="6">
        <v>1</v>
      </c>
      <c r="C64" s="6">
        <v>-33.25</v>
      </c>
      <c r="D64" s="5">
        <v>2000000</v>
      </c>
      <c r="E64" s="5">
        <v>2</v>
      </c>
      <c r="F64" s="6">
        <v>19.329999999999998</v>
      </c>
      <c r="G64" s="6">
        <v>-4.1399999999999997</v>
      </c>
      <c r="H64" s="5">
        <v>0.5</v>
      </c>
      <c r="I64" s="7">
        <v>0.5</v>
      </c>
      <c r="J64" s="4">
        <v>-0.24</v>
      </c>
    </row>
    <row r="65" spans="1:10" x14ac:dyDescent="0.3">
      <c r="A65" t="s">
        <v>6</v>
      </c>
      <c r="B65" s="6">
        <v>31.19</v>
      </c>
      <c r="C65" s="6">
        <v>-3.06</v>
      </c>
      <c r="D65" s="5">
        <v>2145992</v>
      </c>
      <c r="E65" s="5">
        <v>67</v>
      </c>
      <c r="F65" s="6">
        <v>24.75</v>
      </c>
      <c r="G65" s="6">
        <v>0.08</v>
      </c>
      <c r="H65" s="5">
        <v>0</v>
      </c>
      <c r="I65" s="7">
        <v>0</v>
      </c>
      <c r="J65" s="4">
        <v>371.31</v>
      </c>
    </row>
    <row r="66" spans="1:10" x14ac:dyDescent="0.3">
      <c r="A66" s="1" t="s">
        <v>190</v>
      </c>
    </row>
    <row r="67" spans="1:10" x14ac:dyDescent="0.3">
      <c r="A67" s="1" t="s">
        <v>180</v>
      </c>
      <c r="B67" s="1" t="s">
        <v>191</v>
      </c>
      <c r="C67" s="1" t="s">
        <v>192</v>
      </c>
      <c r="D67" s="1" t="s">
        <v>188</v>
      </c>
      <c r="E67" s="1" t="s">
        <v>181</v>
      </c>
      <c r="F67" s="1" t="s">
        <v>193</v>
      </c>
    </row>
    <row r="68" spans="1:10" x14ac:dyDescent="0.3">
      <c r="A68" t="s">
        <v>2</v>
      </c>
      <c r="B68" t="s">
        <v>194</v>
      </c>
      <c r="C68" s="5">
        <v>6950000</v>
      </c>
      <c r="D68" s="9">
        <v>0.1106</v>
      </c>
      <c r="E68" s="6">
        <v>99.46</v>
      </c>
      <c r="F68" t="s">
        <v>195</v>
      </c>
    </row>
    <row r="69" spans="1:10" x14ac:dyDescent="0.3">
      <c r="A69" t="s">
        <v>2</v>
      </c>
      <c r="B69" t="s">
        <v>196</v>
      </c>
      <c r="C69" s="5">
        <v>13900000</v>
      </c>
      <c r="D69" s="9">
        <v>0.12230000000000001</v>
      </c>
      <c r="E69" s="6">
        <v>102.18</v>
      </c>
      <c r="F69" t="s">
        <v>195</v>
      </c>
    </row>
    <row r="70" spans="1:10" x14ac:dyDescent="0.3">
      <c r="A70" t="s">
        <v>2</v>
      </c>
      <c r="B70" t="s">
        <v>197</v>
      </c>
      <c r="C70" s="5">
        <v>20850000</v>
      </c>
      <c r="D70" s="9">
        <v>0.12869999999999998</v>
      </c>
      <c r="E70" s="6">
        <v>108.74</v>
      </c>
      <c r="F70" t="s">
        <v>195</v>
      </c>
    </row>
    <row r="71" spans="1:10" x14ac:dyDescent="0.3">
      <c r="A71" t="s">
        <v>3</v>
      </c>
      <c r="B71" t="s">
        <v>194</v>
      </c>
      <c r="C71" s="5">
        <v>6950000</v>
      </c>
      <c r="D71" s="9">
        <v>0.1105</v>
      </c>
      <c r="E71" s="6">
        <v>99.55</v>
      </c>
      <c r="F71" t="s">
        <v>195</v>
      </c>
    </row>
    <row r="72" spans="1:10" x14ac:dyDescent="0.3">
      <c r="A72" t="s">
        <v>3</v>
      </c>
      <c r="B72" t="s">
        <v>196</v>
      </c>
      <c r="C72" s="5">
        <v>13900000</v>
      </c>
      <c r="D72" s="9">
        <v>0.122</v>
      </c>
      <c r="E72" s="6">
        <v>102.42</v>
      </c>
      <c r="F72" t="s">
        <v>195</v>
      </c>
    </row>
    <row r="73" spans="1:10" x14ac:dyDescent="0.3">
      <c r="A73" t="s">
        <v>3</v>
      </c>
      <c r="B73" t="s">
        <v>197</v>
      </c>
      <c r="C73" s="5">
        <v>20850000</v>
      </c>
      <c r="D73" s="9">
        <v>0.1283</v>
      </c>
      <c r="E73" s="6">
        <v>109.12</v>
      </c>
      <c r="F73" t="s">
        <v>195</v>
      </c>
    </row>
    <row r="74" spans="1:10" x14ac:dyDescent="0.3">
      <c r="A74" t="s">
        <v>4</v>
      </c>
      <c r="B74" t="s">
        <v>194</v>
      </c>
      <c r="C74" s="5">
        <v>6950000</v>
      </c>
      <c r="D74" s="9">
        <v>0.1105</v>
      </c>
      <c r="E74" s="6">
        <v>99.55</v>
      </c>
      <c r="F74" t="s">
        <v>195</v>
      </c>
    </row>
    <row r="75" spans="1:10" x14ac:dyDescent="0.3">
      <c r="A75" t="s">
        <v>4</v>
      </c>
      <c r="B75" t="s">
        <v>196</v>
      </c>
      <c r="C75" s="5">
        <v>13900000</v>
      </c>
      <c r="D75" s="9">
        <v>0.122</v>
      </c>
      <c r="E75" s="6">
        <v>102.42</v>
      </c>
      <c r="F75" t="s">
        <v>195</v>
      </c>
    </row>
    <row r="76" spans="1:10" x14ac:dyDescent="0.3">
      <c r="A76" t="s">
        <v>4</v>
      </c>
      <c r="B76" t="s">
        <v>197</v>
      </c>
      <c r="C76" s="5">
        <v>20850000</v>
      </c>
      <c r="D76" s="9">
        <v>0.1283</v>
      </c>
      <c r="E76" s="6">
        <v>109.12</v>
      </c>
      <c r="F76" t="s">
        <v>195</v>
      </c>
    </row>
    <row r="77" spans="1:10" x14ac:dyDescent="0.3">
      <c r="A77" t="s">
        <v>5</v>
      </c>
      <c r="B77" t="s">
        <v>196</v>
      </c>
      <c r="C77" s="5">
        <v>12370997</v>
      </c>
      <c r="D77" s="9">
        <v>0.12740000000000001</v>
      </c>
      <c r="E77" s="6">
        <v>98.12</v>
      </c>
      <c r="F77" t="s">
        <v>198</v>
      </c>
    </row>
    <row r="78" spans="1:10" x14ac:dyDescent="0.3">
      <c r="A78" t="s">
        <v>5</v>
      </c>
      <c r="B78" t="s">
        <v>197</v>
      </c>
      <c r="C78" s="5">
        <v>20850000</v>
      </c>
      <c r="D78" s="9">
        <v>0.13669999999999999</v>
      </c>
      <c r="E78" s="6">
        <v>102.44</v>
      </c>
      <c r="F78" t="s">
        <v>198</v>
      </c>
    </row>
    <row r="79" spans="1:10" x14ac:dyDescent="0.3">
      <c r="A79" t="s">
        <v>6</v>
      </c>
      <c r="B79" t="s">
        <v>194</v>
      </c>
      <c r="C79" s="5">
        <v>6950000</v>
      </c>
      <c r="D79" s="9">
        <v>0.1115</v>
      </c>
      <c r="E79" s="6">
        <v>98.67</v>
      </c>
      <c r="F79" t="s">
        <v>199</v>
      </c>
    </row>
    <row r="80" spans="1:10" x14ac:dyDescent="0.3">
      <c r="A80" t="s">
        <v>6</v>
      </c>
      <c r="B80" t="s">
        <v>196</v>
      </c>
      <c r="C80" s="5">
        <v>13900000</v>
      </c>
      <c r="D80" s="9">
        <v>0.125</v>
      </c>
      <c r="E80" s="6">
        <v>100</v>
      </c>
      <c r="F80" t="s">
        <v>199</v>
      </c>
    </row>
    <row r="81" spans="1:6" x14ac:dyDescent="0.3">
      <c r="A81" t="s">
        <v>6</v>
      </c>
      <c r="B81" t="s">
        <v>197</v>
      </c>
      <c r="C81" s="5">
        <v>20850000</v>
      </c>
      <c r="D81" s="9">
        <v>0.13289999999999999</v>
      </c>
      <c r="E81" s="6">
        <v>105.34</v>
      </c>
      <c r="F81" t="s">
        <v>199</v>
      </c>
    </row>
    <row r="82" spans="1:6" x14ac:dyDescent="0.3">
      <c r="A82" t="s">
        <v>6</v>
      </c>
      <c r="B82" t="s">
        <v>200</v>
      </c>
      <c r="C82" s="5">
        <v>12100000</v>
      </c>
      <c r="D82" s="9">
        <v>0.121</v>
      </c>
      <c r="E82" s="6">
        <v>93.36</v>
      </c>
      <c r="F82" t="s">
        <v>199</v>
      </c>
    </row>
    <row r="83" spans="1:6" x14ac:dyDescent="0.3">
      <c r="A83" s="1" t="s">
        <v>201</v>
      </c>
      <c r="B83" s="3">
        <v>7.5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O36"/>
  <sheetViews>
    <sheetView workbookViewId="0"/>
  </sheetViews>
  <sheetFormatPr defaultRowHeight="14.4" x14ac:dyDescent="0.3"/>
  <cols>
    <col min="1" max="2" width="21" customWidth="1"/>
    <col min="3" max="3" width="20" customWidth="1"/>
    <col min="4" max="4" width="21" customWidth="1"/>
    <col min="5" max="5" width="20" customWidth="1"/>
    <col min="6" max="7" width="21" customWidth="1"/>
    <col min="8" max="8" width="0" hidden="1" customWidth="1"/>
    <col min="9" max="9" width="23" customWidth="1"/>
    <col min="10" max="10" width="21" customWidth="1"/>
    <col min="11" max="11" width="20" customWidth="1"/>
    <col min="12" max="12" width="21" customWidth="1"/>
    <col min="13" max="13" width="20" customWidth="1"/>
    <col min="14" max="15" width="21" customWidth="1"/>
    <col min="16" max="30" width="0" hidden="1" customWidth="1"/>
  </cols>
  <sheetData>
    <row r="1" spans="1:15" x14ac:dyDescent="0.3">
      <c r="A1" s="1" t="s">
        <v>202</v>
      </c>
      <c r="B1" s="1" t="s">
        <v>203</v>
      </c>
      <c r="I1" s="1" t="s">
        <v>204</v>
      </c>
    </row>
    <row r="2" spans="1:15" x14ac:dyDescent="0.3">
      <c r="A2" s="1" t="s">
        <v>51</v>
      </c>
      <c r="B2" s="1" t="s">
        <v>20</v>
      </c>
      <c r="C2" s="1" t="s">
        <v>21</v>
      </c>
      <c r="D2" s="1" t="s">
        <v>22</v>
      </c>
      <c r="E2" s="1" t="s">
        <v>23</v>
      </c>
      <c r="F2" s="1" t="s">
        <v>24</v>
      </c>
      <c r="G2" s="1" t="s">
        <v>205</v>
      </c>
      <c r="I2" s="1" t="s">
        <v>51</v>
      </c>
      <c r="J2" s="1" t="s">
        <v>20</v>
      </c>
      <c r="K2" s="1" t="s">
        <v>21</v>
      </c>
      <c r="L2" s="1" t="s">
        <v>22</v>
      </c>
      <c r="M2" s="1" t="s">
        <v>23</v>
      </c>
      <c r="N2" s="1" t="s">
        <v>24</v>
      </c>
      <c r="O2" s="1" t="s">
        <v>205</v>
      </c>
    </row>
    <row r="3" spans="1:15" x14ac:dyDescent="0.3">
      <c r="A3" t="s">
        <v>206</v>
      </c>
      <c r="B3" s="2">
        <v>6722</v>
      </c>
      <c r="C3" s="2">
        <v>8341</v>
      </c>
      <c r="D3" s="2">
        <v>2473</v>
      </c>
      <c r="E3" s="2">
        <v>1912</v>
      </c>
      <c r="F3" s="2">
        <v>1955</v>
      </c>
      <c r="G3" s="2">
        <v>21403</v>
      </c>
      <c r="I3" t="s">
        <v>206</v>
      </c>
      <c r="J3" s="2">
        <v>6722</v>
      </c>
      <c r="K3" s="2">
        <v>8341</v>
      </c>
      <c r="L3" s="2">
        <v>2473</v>
      </c>
      <c r="M3" s="2">
        <v>1912</v>
      </c>
      <c r="N3" s="2">
        <v>1955</v>
      </c>
      <c r="O3" s="2">
        <v>21403</v>
      </c>
    </row>
    <row r="4" spans="1:15" x14ac:dyDescent="0.3">
      <c r="A4" t="s">
        <v>207</v>
      </c>
      <c r="B4" s="8">
        <v>0.314</v>
      </c>
      <c r="C4" s="8">
        <v>0.39</v>
      </c>
      <c r="D4" s="8">
        <v>0.11599999999999999</v>
      </c>
      <c r="E4" s="8">
        <v>8.900000000000001E-2</v>
      </c>
      <c r="F4" s="8">
        <v>9.0999999999999998E-2</v>
      </c>
      <c r="G4" s="8">
        <v>1</v>
      </c>
      <c r="I4" t="s">
        <v>207</v>
      </c>
      <c r="J4" s="8">
        <v>0.314</v>
      </c>
      <c r="K4" s="8">
        <v>0.39</v>
      </c>
      <c r="L4" s="8">
        <v>0.11599999999999999</v>
      </c>
      <c r="M4" s="8">
        <v>8.900000000000001E-2</v>
      </c>
      <c r="N4" s="8">
        <v>9.0999999999999998E-2</v>
      </c>
      <c r="O4" s="8">
        <v>1</v>
      </c>
    </row>
    <row r="5" spans="1:15" x14ac:dyDescent="0.3">
      <c r="A5" t="s">
        <v>53</v>
      </c>
      <c r="B5" s="8">
        <v>0.191</v>
      </c>
      <c r="C5" s="8">
        <v>0</v>
      </c>
      <c r="D5" s="8">
        <v>6.9999999999999993E-3</v>
      </c>
      <c r="E5" s="8">
        <v>2E-3</v>
      </c>
      <c r="F5" s="8">
        <v>4.0000000000000001E-3</v>
      </c>
      <c r="G5" s="8">
        <v>6.0999999999999999E-2</v>
      </c>
      <c r="I5" t="s">
        <v>53</v>
      </c>
      <c r="J5" s="8">
        <v>0.19</v>
      </c>
      <c r="K5" s="8">
        <v>0</v>
      </c>
      <c r="L5" s="8">
        <v>6.9999999999999993E-3</v>
      </c>
      <c r="M5" s="8">
        <v>2E-3</v>
      </c>
      <c r="N5" s="8">
        <v>4.0000000000000001E-3</v>
      </c>
      <c r="O5" s="8">
        <v>6.0999999999999999E-2</v>
      </c>
    </row>
    <row r="6" spans="1:15" x14ac:dyDescent="0.3">
      <c r="A6" t="s">
        <v>55</v>
      </c>
      <c r="B6" s="8">
        <v>1.2E-2</v>
      </c>
      <c r="C6" s="8">
        <v>0.159</v>
      </c>
      <c r="D6" s="8">
        <v>0</v>
      </c>
      <c r="E6" s="8">
        <v>0</v>
      </c>
      <c r="F6" s="8">
        <v>0</v>
      </c>
      <c r="G6" s="8">
        <v>6.6000000000000003E-2</v>
      </c>
      <c r="I6" t="s">
        <v>55</v>
      </c>
      <c r="J6" s="8">
        <v>1.2E-2</v>
      </c>
      <c r="K6" s="8">
        <v>0.13500000000000001</v>
      </c>
      <c r="L6" s="8">
        <v>0</v>
      </c>
      <c r="M6" s="8">
        <v>0</v>
      </c>
      <c r="N6" s="8">
        <v>0</v>
      </c>
      <c r="O6" s="8">
        <v>5.5999999999999994E-2</v>
      </c>
    </row>
    <row r="7" spans="1:15" x14ac:dyDescent="0.3">
      <c r="A7" t="s">
        <v>57</v>
      </c>
      <c r="B7" s="8">
        <v>0</v>
      </c>
      <c r="C7" s="8">
        <v>0</v>
      </c>
      <c r="D7" s="8">
        <v>0.16800000000000001</v>
      </c>
      <c r="E7" s="8">
        <v>0</v>
      </c>
      <c r="F7" s="8">
        <v>0</v>
      </c>
      <c r="G7" s="8">
        <v>1.9E-2</v>
      </c>
      <c r="I7" t="s">
        <v>57</v>
      </c>
      <c r="J7" s="8">
        <v>0</v>
      </c>
      <c r="K7" s="8">
        <v>0</v>
      </c>
      <c r="L7" s="8">
        <v>0.16800000000000001</v>
      </c>
      <c r="M7" s="8">
        <v>0</v>
      </c>
      <c r="N7" s="8">
        <v>0</v>
      </c>
      <c r="O7" s="8">
        <v>1.9E-2</v>
      </c>
    </row>
    <row r="8" spans="1:15" x14ac:dyDescent="0.3">
      <c r="A8" t="s">
        <v>59</v>
      </c>
      <c r="B8" s="8">
        <v>8.0000000000000002E-3</v>
      </c>
      <c r="C8" s="8">
        <v>0</v>
      </c>
      <c r="D8" s="8">
        <v>1.4999999999999999E-2</v>
      </c>
      <c r="E8" s="8">
        <v>0.159</v>
      </c>
      <c r="F8" s="8">
        <v>0</v>
      </c>
      <c r="G8" s="8">
        <v>1.8000000000000002E-2</v>
      </c>
      <c r="I8" t="s">
        <v>59</v>
      </c>
      <c r="J8" s="8">
        <v>8.0000000000000002E-3</v>
      </c>
      <c r="K8" s="8">
        <v>0</v>
      </c>
      <c r="L8" s="8">
        <v>1.4999999999999999E-2</v>
      </c>
      <c r="M8" s="8">
        <v>0.159</v>
      </c>
      <c r="N8" s="8">
        <v>0</v>
      </c>
      <c r="O8" s="8">
        <v>1.8000000000000002E-2</v>
      </c>
    </row>
    <row r="9" spans="1:15" x14ac:dyDescent="0.3">
      <c r="A9" t="s">
        <v>61</v>
      </c>
      <c r="B9" s="8">
        <v>0</v>
      </c>
      <c r="C9" s="8">
        <v>0</v>
      </c>
      <c r="D9" s="8">
        <v>0</v>
      </c>
      <c r="E9" s="8">
        <v>0</v>
      </c>
      <c r="F9" s="8">
        <v>0.14699999999999999</v>
      </c>
      <c r="G9" s="8">
        <v>1.3999999999999999E-2</v>
      </c>
      <c r="I9" t="s">
        <v>61</v>
      </c>
      <c r="J9" s="8">
        <v>0</v>
      </c>
      <c r="K9" s="8">
        <v>0</v>
      </c>
      <c r="L9" s="8">
        <v>0</v>
      </c>
      <c r="M9" s="8">
        <v>0</v>
      </c>
      <c r="N9" s="8">
        <v>0.14400000000000002</v>
      </c>
      <c r="O9" s="8">
        <v>1.3000000000000001E-2</v>
      </c>
    </row>
    <row r="10" spans="1:15" x14ac:dyDescent="0.3">
      <c r="A10" t="s">
        <v>63</v>
      </c>
      <c r="B10" s="8">
        <v>0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I10" t="s">
        <v>63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</row>
    <row r="11" spans="1:15" x14ac:dyDescent="0.3">
      <c r="A11" t="s">
        <v>205</v>
      </c>
      <c r="B11" s="8">
        <v>0.21100000000000002</v>
      </c>
      <c r="C11" s="8">
        <v>0.159</v>
      </c>
      <c r="D11" s="8">
        <v>0.19</v>
      </c>
      <c r="E11" s="8">
        <v>0.161</v>
      </c>
      <c r="F11" s="8">
        <v>0.151</v>
      </c>
      <c r="G11" s="8">
        <v>0.17800000000000002</v>
      </c>
      <c r="I11" t="s">
        <v>205</v>
      </c>
      <c r="J11" s="8">
        <v>0.21</v>
      </c>
      <c r="K11" s="8">
        <v>0.13500000000000001</v>
      </c>
      <c r="L11" s="8">
        <v>0.19</v>
      </c>
      <c r="M11" s="8">
        <v>0.161</v>
      </c>
      <c r="N11" s="8">
        <v>0.14800000000000002</v>
      </c>
      <c r="O11" s="8">
        <v>0.16899999999999998</v>
      </c>
    </row>
    <row r="12" spans="1:15" x14ac:dyDescent="0.3">
      <c r="A12" t="s">
        <v>66</v>
      </c>
      <c r="B12" s="8">
        <v>0.17</v>
      </c>
      <c r="C12" s="8">
        <v>0</v>
      </c>
      <c r="D12" s="8">
        <v>9.0000000000000011E-3</v>
      </c>
      <c r="E12" s="8">
        <v>1E-3</v>
      </c>
      <c r="F12" s="8">
        <v>1.6E-2</v>
      </c>
      <c r="G12" s="8">
        <v>5.5999999999999994E-2</v>
      </c>
      <c r="I12" t="s">
        <v>66</v>
      </c>
      <c r="J12" s="8">
        <v>0.17</v>
      </c>
      <c r="K12" s="8">
        <v>0</v>
      </c>
      <c r="L12" s="8">
        <v>9.0000000000000011E-3</v>
      </c>
      <c r="M12" s="8">
        <v>1E-3</v>
      </c>
      <c r="N12" s="8">
        <v>1.6E-2</v>
      </c>
      <c r="O12" s="8">
        <v>5.5999999999999994E-2</v>
      </c>
    </row>
    <row r="13" spans="1:15" x14ac:dyDescent="0.3">
      <c r="A13" t="s">
        <v>68</v>
      </c>
      <c r="B13" s="8">
        <v>1.3999999999999999E-2</v>
      </c>
      <c r="C13" s="8">
        <v>0.184</v>
      </c>
      <c r="D13" s="8">
        <v>0</v>
      </c>
      <c r="E13" s="8">
        <v>0</v>
      </c>
      <c r="F13" s="8">
        <v>0</v>
      </c>
      <c r="G13" s="8">
        <v>7.5999999999999998E-2</v>
      </c>
      <c r="I13" t="s">
        <v>68</v>
      </c>
      <c r="J13" s="8">
        <v>1.3999999999999999E-2</v>
      </c>
      <c r="K13" s="8">
        <v>0.156</v>
      </c>
      <c r="L13" s="8">
        <v>0</v>
      </c>
      <c r="M13" s="8">
        <v>0</v>
      </c>
      <c r="N13" s="8">
        <v>0</v>
      </c>
      <c r="O13" s="8">
        <v>6.5000000000000002E-2</v>
      </c>
    </row>
    <row r="14" spans="1:15" x14ac:dyDescent="0.3">
      <c r="A14" t="s">
        <v>70</v>
      </c>
      <c r="B14" s="8">
        <v>0</v>
      </c>
      <c r="C14" s="8">
        <v>0</v>
      </c>
      <c r="D14" s="8">
        <v>0.17</v>
      </c>
      <c r="E14" s="8">
        <v>0</v>
      </c>
      <c r="F14" s="8">
        <v>0</v>
      </c>
      <c r="G14" s="8">
        <v>0.02</v>
      </c>
      <c r="I14" t="s">
        <v>70</v>
      </c>
      <c r="J14" s="8">
        <v>0</v>
      </c>
      <c r="K14" s="8">
        <v>0</v>
      </c>
      <c r="L14" s="8">
        <v>0.17</v>
      </c>
      <c r="M14" s="8">
        <v>0</v>
      </c>
      <c r="N14" s="8">
        <v>0</v>
      </c>
      <c r="O14" s="8">
        <v>0.02</v>
      </c>
    </row>
    <row r="15" spans="1:15" x14ac:dyDescent="0.3">
      <c r="A15" t="s">
        <v>72</v>
      </c>
      <c r="B15" s="8">
        <v>0</v>
      </c>
      <c r="C15" s="8">
        <v>0</v>
      </c>
      <c r="D15" s="8">
        <v>0.01</v>
      </c>
      <c r="E15" s="8">
        <v>0.16399999999999998</v>
      </c>
      <c r="F15" s="8">
        <v>0</v>
      </c>
      <c r="G15" s="8">
        <v>1.6E-2</v>
      </c>
      <c r="I15" t="s">
        <v>72</v>
      </c>
      <c r="J15" s="8">
        <v>0</v>
      </c>
      <c r="K15" s="8">
        <v>0</v>
      </c>
      <c r="L15" s="8">
        <v>0.01</v>
      </c>
      <c r="M15" s="8">
        <v>0.16399999999999998</v>
      </c>
      <c r="N15" s="8">
        <v>0</v>
      </c>
      <c r="O15" s="8">
        <v>1.6E-2</v>
      </c>
    </row>
    <row r="16" spans="1:15" x14ac:dyDescent="0.3">
      <c r="A16" t="s">
        <v>74</v>
      </c>
      <c r="B16" s="8">
        <v>0</v>
      </c>
      <c r="C16" s="8">
        <v>0</v>
      </c>
      <c r="D16" s="8">
        <v>0</v>
      </c>
      <c r="E16" s="8">
        <v>0</v>
      </c>
      <c r="F16" s="8">
        <v>0.22</v>
      </c>
      <c r="G16" s="8">
        <v>0.02</v>
      </c>
      <c r="I16" t="s">
        <v>74</v>
      </c>
      <c r="J16" s="8">
        <v>0</v>
      </c>
      <c r="K16" s="8">
        <v>0</v>
      </c>
      <c r="L16" s="8">
        <v>0</v>
      </c>
      <c r="M16" s="8">
        <v>0</v>
      </c>
      <c r="N16" s="8">
        <v>0.23800000000000002</v>
      </c>
      <c r="O16" s="8">
        <v>2.2000000000000002E-2</v>
      </c>
    </row>
    <row r="17" spans="1:15" x14ac:dyDescent="0.3">
      <c r="A17" t="s">
        <v>205</v>
      </c>
      <c r="B17" s="8">
        <v>0.185</v>
      </c>
      <c r="C17" s="8">
        <v>0.184</v>
      </c>
      <c r="D17" s="8">
        <v>0.188</v>
      </c>
      <c r="E17" s="8">
        <v>0.16399999999999998</v>
      </c>
      <c r="F17" s="8">
        <v>0.23699999999999999</v>
      </c>
      <c r="G17" s="8">
        <v>0.188</v>
      </c>
      <c r="I17" t="s">
        <v>205</v>
      </c>
      <c r="J17" s="8">
        <v>0.184</v>
      </c>
      <c r="K17" s="8">
        <v>0.156</v>
      </c>
      <c r="L17" s="8">
        <v>0.188</v>
      </c>
      <c r="M17" s="8">
        <v>0.16399999999999998</v>
      </c>
      <c r="N17" s="8">
        <v>0.254</v>
      </c>
      <c r="O17" s="8">
        <v>0.17800000000000002</v>
      </c>
    </row>
    <row r="18" spans="1:15" x14ac:dyDescent="0.3">
      <c r="A18" t="s">
        <v>76</v>
      </c>
      <c r="B18" s="8">
        <v>0.214</v>
      </c>
      <c r="C18" s="8">
        <v>0</v>
      </c>
      <c r="D18" s="8">
        <v>1E-3</v>
      </c>
      <c r="E18" s="8">
        <v>0</v>
      </c>
      <c r="F18" s="8">
        <v>1.3000000000000001E-2</v>
      </c>
      <c r="G18" s="8">
        <v>6.9000000000000006E-2</v>
      </c>
      <c r="I18" t="s">
        <v>76</v>
      </c>
      <c r="J18" s="8">
        <v>0.214</v>
      </c>
      <c r="K18" s="8">
        <v>0</v>
      </c>
      <c r="L18" s="8">
        <v>1E-3</v>
      </c>
      <c r="M18" s="8">
        <v>0</v>
      </c>
      <c r="N18" s="8">
        <v>1.3000000000000001E-2</v>
      </c>
      <c r="O18" s="8">
        <v>6.8000000000000005E-2</v>
      </c>
    </row>
    <row r="19" spans="1:15" x14ac:dyDescent="0.3">
      <c r="A19" t="s">
        <v>78</v>
      </c>
      <c r="B19" s="8">
        <v>1.6E-2</v>
      </c>
      <c r="C19" s="8">
        <v>0.23100000000000001</v>
      </c>
      <c r="D19" s="8">
        <v>0</v>
      </c>
      <c r="E19" s="8">
        <v>0</v>
      </c>
      <c r="F19" s="8">
        <v>0</v>
      </c>
      <c r="G19" s="8">
        <v>9.5000000000000001E-2</v>
      </c>
      <c r="I19" t="s">
        <v>78</v>
      </c>
      <c r="J19" s="8">
        <v>1.7000000000000001E-2</v>
      </c>
      <c r="K19" s="8">
        <v>0.23600000000000002</v>
      </c>
      <c r="L19" s="8">
        <v>0</v>
      </c>
      <c r="M19" s="8">
        <v>0</v>
      </c>
      <c r="N19" s="8">
        <v>0</v>
      </c>
      <c r="O19" s="8">
        <v>9.6999999999999989E-2</v>
      </c>
    </row>
    <row r="20" spans="1:15" x14ac:dyDescent="0.3">
      <c r="A20" t="s">
        <v>79</v>
      </c>
      <c r="B20" s="8">
        <v>0</v>
      </c>
      <c r="C20" s="8">
        <v>0</v>
      </c>
      <c r="D20" s="8">
        <v>0.17199999999999999</v>
      </c>
      <c r="E20" s="8">
        <v>0</v>
      </c>
      <c r="F20" s="8">
        <v>0</v>
      </c>
      <c r="G20" s="8">
        <v>0.02</v>
      </c>
      <c r="I20" t="s">
        <v>79</v>
      </c>
      <c r="J20" s="8">
        <v>0</v>
      </c>
      <c r="K20" s="8">
        <v>0</v>
      </c>
      <c r="L20" s="8">
        <v>0.17199999999999999</v>
      </c>
      <c r="M20" s="8">
        <v>0</v>
      </c>
      <c r="N20" s="8">
        <v>0</v>
      </c>
      <c r="O20" s="8">
        <v>0.02</v>
      </c>
    </row>
    <row r="21" spans="1:15" x14ac:dyDescent="0.3">
      <c r="A21" t="s">
        <v>81</v>
      </c>
      <c r="B21" s="8">
        <v>0</v>
      </c>
      <c r="C21" s="8">
        <v>0</v>
      </c>
      <c r="D21" s="8">
        <v>1.1000000000000001E-2</v>
      </c>
      <c r="E21" s="8">
        <v>0.23</v>
      </c>
      <c r="F21" s="8">
        <v>0</v>
      </c>
      <c r="G21" s="8">
        <v>2.2000000000000002E-2</v>
      </c>
      <c r="I21" t="s">
        <v>81</v>
      </c>
      <c r="J21" s="8">
        <v>0</v>
      </c>
      <c r="K21" s="8">
        <v>0</v>
      </c>
      <c r="L21" s="8">
        <v>1.1000000000000001E-2</v>
      </c>
      <c r="M21" s="8">
        <v>0.23</v>
      </c>
      <c r="N21" s="8">
        <v>0</v>
      </c>
      <c r="O21" s="8">
        <v>2.2000000000000002E-2</v>
      </c>
    </row>
    <row r="22" spans="1:15" x14ac:dyDescent="0.3">
      <c r="A22" t="s">
        <v>83</v>
      </c>
      <c r="B22" s="8">
        <v>1E-3</v>
      </c>
      <c r="C22" s="8">
        <v>0</v>
      </c>
      <c r="D22" s="8">
        <v>0</v>
      </c>
      <c r="E22" s="8">
        <v>0</v>
      </c>
      <c r="F22" s="8">
        <v>0.16200000000000001</v>
      </c>
      <c r="G22" s="8">
        <v>1.4999999999999999E-2</v>
      </c>
      <c r="I22" t="s">
        <v>83</v>
      </c>
      <c r="J22" s="8">
        <v>1E-3</v>
      </c>
      <c r="K22" s="8">
        <v>0</v>
      </c>
      <c r="L22" s="8">
        <v>0</v>
      </c>
      <c r="M22" s="8">
        <v>0</v>
      </c>
      <c r="N22" s="8">
        <v>0.159</v>
      </c>
      <c r="O22" s="8">
        <v>1.4999999999999999E-2</v>
      </c>
    </row>
    <row r="23" spans="1:15" x14ac:dyDescent="0.3">
      <c r="A23" t="s">
        <v>205</v>
      </c>
      <c r="B23" s="8">
        <v>0.23199999999999998</v>
      </c>
      <c r="C23" s="8">
        <v>0.23199999999999998</v>
      </c>
      <c r="D23" s="8">
        <v>0.184</v>
      </c>
      <c r="E23" s="8">
        <v>0.23</v>
      </c>
      <c r="F23" s="8">
        <v>0.17399999999999999</v>
      </c>
      <c r="G23" s="8">
        <v>0.221</v>
      </c>
      <c r="I23" t="s">
        <v>205</v>
      </c>
      <c r="J23" s="8">
        <v>0.23199999999999998</v>
      </c>
      <c r="K23" s="8">
        <v>0.23600000000000002</v>
      </c>
      <c r="L23" s="8">
        <v>0.184</v>
      </c>
      <c r="M23" s="8">
        <v>0.23</v>
      </c>
      <c r="N23" s="8">
        <v>0.17100000000000001</v>
      </c>
      <c r="O23" s="8">
        <v>0.222</v>
      </c>
    </row>
    <row r="24" spans="1:15" x14ac:dyDescent="0.3">
      <c r="A24" t="s">
        <v>85</v>
      </c>
      <c r="B24" s="8">
        <v>0.14899999999999999</v>
      </c>
      <c r="C24" s="8">
        <v>0</v>
      </c>
      <c r="D24" s="8">
        <v>1E-3</v>
      </c>
      <c r="E24" s="8">
        <v>0</v>
      </c>
      <c r="F24" s="8">
        <v>9.0000000000000011E-3</v>
      </c>
      <c r="G24" s="8">
        <v>4.8000000000000001E-2</v>
      </c>
      <c r="I24" t="s">
        <v>85</v>
      </c>
      <c r="J24" s="8">
        <v>0.14899999999999999</v>
      </c>
      <c r="K24" s="8">
        <v>0</v>
      </c>
      <c r="L24" s="8">
        <v>1E-3</v>
      </c>
      <c r="M24" s="8">
        <v>0</v>
      </c>
      <c r="N24" s="8">
        <v>8.0000000000000002E-3</v>
      </c>
      <c r="O24" s="8">
        <v>4.8000000000000001E-2</v>
      </c>
    </row>
    <row r="25" spans="1:15" x14ac:dyDescent="0.3">
      <c r="A25" t="s">
        <v>87</v>
      </c>
      <c r="B25" s="8">
        <v>3.0000000000000001E-3</v>
      </c>
      <c r="C25" s="8">
        <v>0.218</v>
      </c>
      <c r="D25" s="8">
        <v>0</v>
      </c>
      <c r="E25" s="8">
        <v>0</v>
      </c>
      <c r="F25" s="8">
        <v>0</v>
      </c>
      <c r="G25" s="8">
        <v>8.5999999999999993E-2</v>
      </c>
      <c r="I25" t="s">
        <v>87</v>
      </c>
      <c r="J25" s="8">
        <v>4.0000000000000001E-3</v>
      </c>
      <c r="K25" s="8">
        <v>0.29600000000000004</v>
      </c>
      <c r="L25" s="8">
        <v>0</v>
      </c>
      <c r="M25" s="8">
        <v>0</v>
      </c>
      <c r="N25" s="8">
        <v>0</v>
      </c>
      <c r="O25" s="8">
        <v>0.11599999999999999</v>
      </c>
    </row>
    <row r="26" spans="1:15" x14ac:dyDescent="0.3">
      <c r="A26" t="s">
        <v>89</v>
      </c>
      <c r="B26" s="8">
        <v>0</v>
      </c>
      <c r="C26" s="8">
        <v>0</v>
      </c>
      <c r="D26" s="8">
        <v>9.0000000000000011E-3</v>
      </c>
      <c r="E26" s="8">
        <v>0.188</v>
      </c>
      <c r="F26" s="8">
        <v>0</v>
      </c>
      <c r="G26" s="8">
        <v>1.8000000000000002E-2</v>
      </c>
      <c r="I26" t="s">
        <v>89</v>
      </c>
      <c r="J26" s="8">
        <v>0</v>
      </c>
      <c r="K26" s="8">
        <v>0</v>
      </c>
      <c r="L26" s="8">
        <v>9.0000000000000011E-3</v>
      </c>
      <c r="M26" s="8">
        <v>0.188</v>
      </c>
      <c r="N26" s="8">
        <v>0</v>
      </c>
      <c r="O26" s="8">
        <v>1.8000000000000002E-2</v>
      </c>
    </row>
    <row r="27" spans="1:15" x14ac:dyDescent="0.3">
      <c r="A27" t="s">
        <v>91</v>
      </c>
      <c r="B27" s="8">
        <v>0</v>
      </c>
      <c r="C27" s="8">
        <v>0</v>
      </c>
      <c r="D27" s="8">
        <v>0.13500000000000001</v>
      </c>
      <c r="E27" s="8">
        <v>0</v>
      </c>
      <c r="F27" s="8">
        <v>0</v>
      </c>
      <c r="G27" s="8">
        <v>1.6E-2</v>
      </c>
      <c r="I27" t="s">
        <v>91</v>
      </c>
      <c r="J27" s="8">
        <v>0</v>
      </c>
      <c r="K27" s="8">
        <v>0</v>
      </c>
      <c r="L27" s="8">
        <v>0.13500000000000001</v>
      </c>
      <c r="M27" s="8">
        <v>0</v>
      </c>
      <c r="N27" s="8">
        <v>0</v>
      </c>
      <c r="O27" s="8">
        <v>1.6E-2</v>
      </c>
    </row>
    <row r="28" spans="1:15" x14ac:dyDescent="0.3">
      <c r="A28" t="s">
        <v>93</v>
      </c>
      <c r="B28" s="8">
        <v>1E-3</v>
      </c>
      <c r="C28" s="8">
        <v>0</v>
      </c>
      <c r="D28" s="8">
        <v>0</v>
      </c>
      <c r="E28" s="8">
        <v>0</v>
      </c>
      <c r="F28" s="8">
        <v>0.13800000000000001</v>
      </c>
      <c r="G28" s="8">
        <v>1.3000000000000001E-2</v>
      </c>
      <c r="I28" t="s">
        <v>93</v>
      </c>
      <c r="J28" s="8">
        <v>1E-3</v>
      </c>
      <c r="K28" s="8">
        <v>0</v>
      </c>
      <c r="L28" s="8">
        <v>0</v>
      </c>
      <c r="M28" s="8">
        <v>0</v>
      </c>
      <c r="N28" s="8">
        <v>0.13600000000000001</v>
      </c>
      <c r="O28" s="8">
        <v>1.3000000000000001E-2</v>
      </c>
    </row>
    <row r="29" spans="1:15" x14ac:dyDescent="0.3">
      <c r="A29" t="s">
        <v>205</v>
      </c>
      <c r="B29" s="8">
        <v>0.152</v>
      </c>
      <c r="C29" s="8">
        <v>0.218</v>
      </c>
      <c r="D29" s="8">
        <v>0.14499999999999999</v>
      </c>
      <c r="E29" s="8">
        <v>0.18899999999999997</v>
      </c>
      <c r="F29" s="8">
        <v>0.14699999999999999</v>
      </c>
      <c r="G29" s="8">
        <v>0.18</v>
      </c>
      <c r="I29" t="s">
        <v>205</v>
      </c>
      <c r="J29" s="8">
        <v>0.153</v>
      </c>
      <c r="K29" s="8">
        <v>0.29600000000000004</v>
      </c>
      <c r="L29" s="8">
        <v>0.14499999999999999</v>
      </c>
      <c r="M29" s="8">
        <v>0.18899999999999997</v>
      </c>
      <c r="N29" s="8">
        <v>0.14499999999999999</v>
      </c>
      <c r="O29" s="8">
        <v>0.21</v>
      </c>
    </row>
    <row r="30" spans="1:15" x14ac:dyDescent="0.3">
      <c r="A30" t="s">
        <v>94</v>
      </c>
      <c r="B30" s="8">
        <v>0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I30" t="s">
        <v>94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</row>
    <row r="31" spans="1:15" x14ac:dyDescent="0.3">
      <c r="A31" t="s">
        <v>96</v>
      </c>
      <c r="B31" s="8">
        <v>0.20199999999999999</v>
      </c>
      <c r="C31" s="8">
        <v>0</v>
      </c>
      <c r="D31" s="8">
        <v>1.3999999999999999E-2</v>
      </c>
      <c r="E31" s="8">
        <v>2E-3</v>
      </c>
      <c r="F31" s="8">
        <v>2.2000000000000002E-2</v>
      </c>
      <c r="G31" s="8">
        <v>6.7000000000000004E-2</v>
      </c>
      <c r="I31" t="s">
        <v>96</v>
      </c>
      <c r="J31" s="8">
        <v>0.20199999999999999</v>
      </c>
      <c r="K31" s="8">
        <v>0</v>
      </c>
      <c r="L31" s="8">
        <v>1.3999999999999999E-2</v>
      </c>
      <c r="M31" s="8">
        <v>2E-3</v>
      </c>
      <c r="N31" s="8">
        <v>2.1000000000000001E-2</v>
      </c>
      <c r="O31" s="8">
        <v>6.7000000000000004E-2</v>
      </c>
    </row>
    <row r="32" spans="1:15" x14ac:dyDescent="0.3">
      <c r="A32" t="s">
        <v>98</v>
      </c>
      <c r="B32" s="8">
        <v>1.9E-2</v>
      </c>
      <c r="C32" s="8">
        <v>0.20699999999999999</v>
      </c>
      <c r="D32" s="8">
        <v>0</v>
      </c>
      <c r="E32" s="8">
        <v>0</v>
      </c>
      <c r="F32" s="8">
        <v>0</v>
      </c>
      <c r="G32" s="8">
        <v>8.5999999999999993E-2</v>
      </c>
      <c r="I32" t="s">
        <v>98</v>
      </c>
      <c r="J32" s="8">
        <v>1.9E-2</v>
      </c>
      <c r="K32" s="8">
        <v>0.17600000000000002</v>
      </c>
      <c r="L32" s="8">
        <v>0</v>
      </c>
      <c r="M32" s="8">
        <v>0</v>
      </c>
      <c r="N32" s="8">
        <v>0</v>
      </c>
      <c r="O32" s="8">
        <v>7.400000000000001E-2</v>
      </c>
    </row>
    <row r="33" spans="1:15" x14ac:dyDescent="0.3">
      <c r="A33" t="s">
        <v>100</v>
      </c>
      <c r="B33" s="8">
        <v>0</v>
      </c>
      <c r="C33" s="8">
        <v>0</v>
      </c>
      <c r="D33" s="8">
        <v>0.25800000000000001</v>
      </c>
      <c r="E33" s="8">
        <v>0</v>
      </c>
      <c r="F33" s="8">
        <v>0</v>
      </c>
      <c r="G33" s="8">
        <v>0.03</v>
      </c>
      <c r="I33" t="s">
        <v>100</v>
      </c>
      <c r="J33" s="8">
        <v>0</v>
      </c>
      <c r="K33" s="8">
        <v>0</v>
      </c>
      <c r="L33" s="8">
        <v>0.25800000000000001</v>
      </c>
      <c r="M33" s="8">
        <v>0</v>
      </c>
      <c r="N33" s="8">
        <v>0</v>
      </c>
      <c r="O33" s="8">
        <v>0.03</v>
      </c>
    </row>
    <row r="34" spans="1:15" x14ac:dyDescent="0.3">
      <c r="A34" t="s">
        <v>102</v>
      </c>
      <c r="B34" s="8">
        <v>0</v>
      </c>
      <c r="C34" s="8">
        <v>0</v>
      </c>
      <c r="D34" s="8">
        <v>0.02</v>
      </c>
      <c r="E34" s="8">
        <v>0.254</v>
      </c>
      <c r="F34" s="8">
        <v>0</v>
      </c>
      <c r="G34" s="8">
        <v>2.5000000000000001E-2</v>
      </c>
      <c r="I34" t="s">
        <v>102</v>
      </c>
      <c r="J34" s="8">
        <v>0</v>
      </c>
      <c r="K34" s="8">
        <v>0</v>
      </c>
      <c r="L34" s="8">
        <v>0.02</v>
      </c>
      <c r="M34" s="8">
        <v>0.254</v>
      </c>
      <c r="N34" s="8">
        <v>0</v>
      </c>
      <c r="O34" s="8">
        <v>2.5000000000000001E-2</v>
      </c>
    </row>
    <row r="35" spans="1:15" x14ac:dyDescent="0.3">
      <c r="A35" t="s">
        <v>104</v>
      </c>
      <c r="B35" s="8">
        <v>0</v>
      </c>
      <c r="C35" s="8">
        <v>0</v>
      </c>
      <c r="D35" s="8">
        <v>0</v>
      </c>
      <c r="E35" s="8">
        <v>0</v>
      </c>
      <c r="F35" s="8">
        <v>0.26800000000000002</v>
      </c>
      <c r="G35" s="8">
        <v>2.5000000000000001E-2</v>
      </c>
      <c r="I35" t="s">
        <v>104</v>
      </c>
      <c r="J35" s="8">
        <v>0</v>
      </c>
      <c r="K35" s="8">
        <v>0</v>
      </c>
      <c r="L35" s="8">
        <v>0</v>
      </c>
      <c r="M35" s="8">
        <v>0</v>
      </c>
      <c r="N35" s="8">
        <v>0.26100000000000001</v>
      </c>
      <c r="O35" s="8">
        <v>2.4E-2</v>
      </c>
    </row>
    <row r="36" spans="1:15" x14ac:dyDescent="0.3">
      <c r="A36" t="s">
        <v>205</v>
      </c>
      <c r="B36" s="8">
        <v>0.221</v>
      </c>
      <c r="C36" s="8">
        <v>0.20699999999999999</v>
      </c>
      <c r="D36" s="8">
        <v>0.29199999999999998</v>
      </c>
      <c r="E36" s="8">
        <v>0.25600000000000001</v>
      </c>
      <c r="F36" s="8">
        <v>0.28999999999999998</v>
      </c>
      <c r="G36" s="8">
        <v>0.23300000000000001</v>
      </c>
      <c r="I36" t="s">
        <v>205</v>
      </c>
      <c r="J36" s="8">
        <v>0.221</v>
      </c>
      <c r="K36" s="8">
        <v>0.17600000000000002</v>
      </c>
      <c r="L36" s="8">
        <v>0.29199999999999998</v>
      </c>
      <c r="M36" s="8">
        <v>0.25600000000000001</v>
      </c>
      <c r="N36" s="8">
        <v>0.28199999999999997</v>
      </c>
      <c r="O36" s="8">
        <v>0.22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10"/>
  <sheetViews>
    <sheetView workbookViewId="0"/>
  </sheetViews>
  <sheetFormatPr defaultRowHeight="14.4" x14ac:dyDescent="0.3"/>
  <cols>
    <col min="1" max="1" width="20" customWidth="1"/>
    <col min="2" max="3" width="18" customWidth="1"/>
    <col min="4" max="6" width="19" customWidth="1"/>
    <col min="7" max="30" width="0" hidden="1" customWidth="1"/>
  </cols>
  <sheetData>
    <row r="1" spans="1:6" x14ac:dyDescent="0.3">
      <c r="A1" s="1" t="s">
        <v>208</v>
      </c>
    </row>
    <row r="2" spans="1:6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 x14ac:dyDescent="0.3">
      <c r="A3" s="1" t="s">
        <v>209</v>
      </c>
      <c r="B3" s="2">
        <v>701</v>
      </c>
      <c r="C3" s="2">
        <v>701</v>
      </c>
      <c r="D3" s="2">
        <v>822</v>
      </c>
      <c r="E3" s="2">
        <v>714</v>
      </c>
      <c r="F3" s="2">
        <v>861</v>
      </c>
    </row>
    <row r="4" spans="1:6" x14ac:dyDescent="0.3">
      <c r="A4" s="1" t="s">
        <v>210</v>
      </c>
      <c r="B4" s="2">
        <v>640.42307692307679</v>
      </c>
      <c r="C4" s="2">
        <v>640.42307692307679</v>
      </c>
      <c r="D4" s="2">
        <v>732.57692307692309</v>
      </c>
      <c r="E4" s="2">
        <v>653.84615384615392</v>
      </c>
      <c r="F4" s="2">
        <v>744.23076923076928</v>
      </c>
    </row>
    <row r="5" spans="1:6" x14ac:dyDescent="0.3">
      <c r="A5" s="1" t="s">
        <v>211</v>
      </c>
      <c r="B5" s="2">
        <v>60.576923076923208</v>
      </c>
      <c r="C5" s="2">
        <v>60.576923076923208</v>
      </c>
      <c r="D5" s="2">
        <v>89.423076923076906</v>
      </c>
      <c r="E5" s="2">
        <v>60.153846153846075</v>
      </c>
      <c r="F5" s="2">
        <v>116.76923076923072</v>
      </c>
    </row>
    <row r="6" spans="1:6" x14ac:dyDescent="0.3">
      <c r="A6" s="1" t="s">
        <v>212</v>
      </c>
      <c r="B6" s="7">
        <v>0</v>
      </c>
      <c r="C6" s="7">
        <v>0</v>
      </c>
      <c r="D6" s="7">
        <v>0</v>
      </c>
      <c r="E6" s="7">
        <v>5.9999999999999995E-4</v>
      </c>
      <c r="F6" s="7">
        <v>1E-4</v>
      </c>
    </row>
    <row r="7" spans="1:6" x14ac:dyDescent="0.3">
      <c r="A7" s="1" t="s">
        <v>213</v>
      </c>
      <c r="B7" s="8">
        <v>0.1</v>
      </c>
      <c r="C7" s="8">
        <v>0.1</v>
      </c>
      <c r="D7" s="8">
        <v>0.1</v>
      </c>
      <c r="E7" s="8">
        <v>0.10009999999999999</v>
      </c>
      <c r="F7" s="8">
        <v>0.1</v>
      </c>
    </row>
    <row r="8" spans="1:6" x14ac:dyDescent="0.3">
      <c r="A8" s="1" t="s">
        <v>214</v>
      </c>
      <c r="B8" s="2">
        <v>70.099999999999994</v>
      </c>
      <c r="C8" s="2">
        <v>70.099999999999994</v>
      </c>
      <c r="D8" s="2">
        <v>203.20000000000002</v>
      </c>
      <c r="E8" s="2">
        <v>84.446200000000019</v>
      </c>
      <c r="F8" s="2">
        <v>246.10667441860465</v>
      </c>
    </row>
    <row r="9" spans="1:6" x14ac:dyDescent="0.3">
      <c r="A9" s="1" t="s">
        <v>215</v>
      </c>
      <c r="B9" s="2">
        <v>0</v>
      </c>
      <c r="C9" s="2">
        <v>0</v>
      </c>
      <c r="D9" s="2">
        <v>0</v>
      </c>
      <c r="E9" s="2">
        <v>0</v>
      </c>
      <c r="F9" s="2">
        <v>0</v>
      </c>
    </row>
    <row r="10" spans="1:6" x14ac:dyDescent="0.3">
      <c r="A10" s="1" t="s">
        <v>216</v>
      </c>
      <c r="B10" s="8">
        <v>1</v>
      </c>
      <c r="C10" s="8">
        <v>1</v>
      </c>
      <c r="D10" s="8">
        <v>1</v>
      </c>
      <c r="E10" s="8">
        <v>1</v>
      </c>
      <c r="F10" s="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High Level Overview</vt:lpstr>
      <vt:lpstr>Traditional</vt:lpstr>
      <vt:lpstr>Low End</vt:lpstr>
      <vt:lpstr>High End</vt:lpstr>
      <vt:lpstr>Performance</vt:lpstr>
      <vt:lpstr>Size</vt:lpstr>
      <vt:lpstr>Production</vt:lpstr>
      <vt:lpstr>Finance</vt:lpstr>
      <vt:lpstr>Market Share</vt:lpstr>
      <vt:lpstr>Custom Modules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Grant kincaid</cp:lastModifiedBy>
  <dcterms:created xsi:type="dcterms:W3CDTF">2026-02-12T17:47:25Z</dcterms:created>
  <dcterms:modified xsi:type="dcterms:W3CDTF">2026-02-13T23:54:58Z</dcterms:modified>
</cp:coreProperties>
</file>